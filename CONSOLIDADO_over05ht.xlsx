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df80ec97692de0/curso python/MENTORIA LEANDRO/PROFIT_TABELA_DINAMICA/OVER05HT/CONSOLIDADO_MENSAL/"/>
    </mc:Choice>
  </mc:AlternateContent>
  <xr:revisionPtr revIDLastSave="22" documentId="11_7AF902E1C3DB892E0B2C4C4245AE1C2B79791BF7" xr6:coauthVersionLast="47" xr6:coauthVersionMax="47" xr10:uidLastSave="{F27E395E-0E90-4E0F-982C-CA68F5D3475F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6" i="1" l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O3" i="1"/>
  <c r="N3" i="1"/>
  <c r="O2" i="1"/>
  <c r="N2" i="1"/>
</calcChain>
</file>

<file path=xl/sharedStrings.xml><?xml version="1.0" encoding="utf-8"?>
<sst xmlns="http://schemas.openxmlformats.org/spreadsheetml/2006/main" count="1575" uniqueCount="736">
  <si>
    <t>Date</t>
  </si>
  <si>
    <t>Time</t>
  </si>
  <si>
    <t>League</t>
  </si>
  <si>
    <t>Home</t>
  </si>
  <si>
    <t>Away</t>
  </si>
  <si>
    <t>Odd_H</t>
  </si>
  <si>
    <t>Odd_A</t>
  </si>
  <si>
    <t>Odd_D</t>
  </si>
  <si>
    <t>Odd_Over05_HT</t>
  </si>
  <si>
    <t>METODOS</t>
  </si>
  <si>
    <t>HOME</t>
  </si>
  <si>
    <t>AWAY</t>
  </si>
  <si>
    <t>1/0</t>
  </si>
  <si>
    <t>PROFIT</t>
  </si>
  <si>
    <t>TOTAL GOLS</t>
  </si>
  <si>
    <t>2026-01-01</t>
  </si>
  <si>
    <t>2026-01-02</t>
  </si>
  <si>
    <t>2026-01-03</t>
  </si>
  <si>
    <t>2026-01-04</t>
  </si>
  <si>
    <t>2026-01-06</t>
  </si>
  <si>
    <t>2026-01-07</t>
  </si>
  <si>
    <t>2026-01-10</t>
  </si>
  <si>
    <t>2026-01-11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</si>
  <si>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</si>
  <si>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</si>
  <si>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</si>
  <si>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</si>
  <si>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</si>
  <si>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</si>
  <si>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</si>
  <si>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</si>
  <si>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</si>
  <si>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</si>
  <si>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</si>
  <si>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</si>
  <si>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</si>
  <si>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2025-12-01</t>
  </si>
  <si>
    <t>2025-12-03</t>
  </si>
  <si>
    <t>2025-12-05</t>
  </si>
  <si>
    <t>2025-12-06</t>
  </si>
  <si>
    <t>2025-12-07</t>
  </si>
  <si>
    <t>2025-12-08</t>
  </si>
  <si>
    <t>2025-12-10</t>
  </si>
  <si>
    <t>2025-12-12</t>
  </si>
  <si>
    <t>2025-12-13</t>
  </si>
  <si>
    <t>2025-12-14</t>
  </si>
  <si>
    <t>2025-12-15</t>
  </si>
  <si>
    <t>2025-12-19</t>
  </si>
  <si>
    <t>2025-12-20</t>
  </si>
  <si>
    <t>2025-12-22</t>
  </si>
  <si>
    <t>2025-12-23</t>
  </si>
  <si>
    <t>2025-12-26</t>
  </si>
  <si>
    <t>2025-12-27</t>
  </si>
  <si>
    <t>2025-12-28</t>
  </si>
  <si>
    <t>2025-12-29</t>
  </si>
  <si>
    <t>2025-12-30</t>
  </si>
  <si>
    <t>2025-12-31</t>
  </si>
  <si>
    <t>2025-11-01</t>
  </si>
  <si>
    <t>2025-11-05</t>
  </si>
  <si>
    <t>2025-11-06</t>
  </si>
  <si>
    <t>2025-11-07</t>
  </si>
  <si>
    <t>2025-11-08</t>
  </si>
  <si>
    <t>2025-11-09</t>
  </si>
  <si>
    <t>2025-11-12</t>
  </si>
  <si>
    <t>2025-11-13</t>
  </si>
  <si>
    <t>2025-11-20</t>
  </si>
  <si>
    <t>2025-11-21</t>
  </si>
  <si>
    <t>2025-11-22</t>
  </si>
  <si>
    <t>2025-11-23</t>
  </si>
  <si>
    <t>2025-11-25</t>
  </si>
  <si>
    <t>2025-11-27</t>
  </si>
  <si>
    <t>2025-11-28</t>
  </si>
  <si>
    <t>2025-11-29</t>
  </si>
  <si>
    <t>2025-11-30</t>
  </si>
  <si>
    <t>14:30:00</t>
  </si>
  <si>
    <t>10:25:00</t>
  </si>
  <si>
    <t>11:00:00</t>
  </si>
  <si>
    <t>10:00:00</t>
  </si>
  <si>
    <t>10:30:00</t>
  </si>
  <si>
    <t>08:00:00</t>
  </si>
  <si>
    <t>12:00:00</t>
  </si>
  <si>
    <t>16:30:00</t>
  </si>
  <si>
    <t>17:00:00</t>
  </si>
  <si>
    <t>09:35:00</t>
  </si>
  <si>
    <t>13:00:00</t>
  </si>
  <si>
    <t>16:45:00</t>
  </si>
  <si>
    <t>21:30:00</t>
  </si>
  <si>
    <t>11:30:00</t>
  </si>
  <si>
    <t>13:15:00</t>
  </si>
  <si>
    <t>09:00:00</t>
  </si>
  <si>
    <t>14:00:00</t>
  </si>
  <si>
    <t>18:30:00</t>
  </si>
  <si>
    <t>19:00:00</t>
  </si>
  <si>
    <t>19:30:00</t>
  </si>
  <si>
    <t>15:00:00</t>
  </si>
  <si>
    <t>17:15:00</t>
  </si>
  <si>
    <t>00:00:00</t>
  </si>
  <si>
    <t>20:00:00</t>
  </si>
  <si>
    <t>09:30:00</t>
  </si>
  <si>
    <t>12:05:00</t>
  </si>
  <si>
    <t>18:00:00</t>
  </si>
  <si>
    <t>20:20:00</t>
  </si>
  <si>
    <t>07:00:00</t>
  </si>
  <si>
    <t>12:15:00</t>
  </si>
  <si>
    <t>13:30:00</t>
  </si>
  <si>
    <t>16:00:00</t>
  </si>
  <si>
    <t>18:10:00</t>
  </si>
  <si>
    <t>20:10:00</t>
  </si>
  <si>
    <t>15:30:00</t>
  </si>
  <si>
    <t>01:00:00</t>
  </si>
  <si>
    <t>02:00:00</t>
  </si>
  <si>
    <t>22:00:00</t>
  </si>
  <si>
    <t>23:00:00</t>
  </si>
  <si>
    <t>10:45:00</t>
  </si>
  <si>
    <t>05:30:00</t>
  </si>
  <si>
    <t>12:30:00</t>
  </si>
  <si>
    <t>09:55:00</t>
  </si>
  <si>
    <t>14:45:00</t>
  </si>
  <si>
    <t>17:30:00</t>
  </si>
  <si>
    <t>10:20:00</t>
  </si>
  <si>
    <t>07:30:00</t>
  </si>
  <si>
    <t>22:20:00</t>
  </si>
  <si>
    <t>21:00:00</t>
  </si>
  <si>
    <t>06:00:00</t>
  </si>
  <si>
    <t>16:15:00</t>
  </si>
  <si>
    <t>09:15:00</t>
  </si>
  <si>
    <t>08:30:00</t>
  </si>
  <si>
    <t>English Premier League</t>
  </si>
  <si>
    <t>Bahraini Premier</t>
  </si>
  <si>
    <t>Algerian Ligue 2</t>
  </si>
  <si>
    <t>Algerian Ligue 1</t>
  </si>
  <si>
    <t>Italian Serie C</t>
  </si>
  <si>
    <t>Italian Serie A</t>
  </si>
  <si>
    <t>Portuguese Liga 3</t>
  </si>
  <si>
    <t>English Sky Bet League 1</t>
  </si>
  <si>
    <t>Spanish Segunda Division</t>
  </si>
  <si>
    <t>Saudi 1st Division</t>
  </si>
  <si>
    <t>Brazilian Catarinense Matches</t>
  </si>
  <si>
    <t>French Cup</t>
  </si>
  <si>
    <t>Scottish Championship</t>
  </si>
  <si>
    <t>Scottish League One</t>
  </si>
  <si>
    <t>Italian Serie B</t>
  </si>
  <si>
    <t>English FA Cup</t>
  </si>
  <si>
    <t>Jamaican Premier League</t>
  </si>
  <si>
    <t>Friendly Matches</t>
  </si>
  <si>
    <t>German Bundesliga</t>
  </si>
  <si>
    <t>Africa Cup of Nations</t>
  </si>
  <si>
    <t>Scottish Premiership</t>
  </si>
  <si>
    <t>Brazilian Baiano Matches</t>
  </si>
  <si>
    <t>Brazilian Paulista Serie A2</t>
  </si>
  <si>
    <t>Brazilian Paulista Serie A1</t>
  </si>
  <si>
    <t>Brazilian Mineiro Matches</t>
  </si>
  <si>
    <t>Zambian Super Division</t>
  </si>
  <si>
    <t>Spanish Tercera Division RFEF</t>
  </si>
  <si>
    <t>Portuguese Segunda Liga</t>
  </si>
  <si>
    <t>Mexican Liga MX</t>
  </si>
  <si>
    <t>English Sky Bet League 2</t>
  </si>
  <si>
    <t>Uruguayan Cup</t>
  </si>
  <si>
    <t>Brazilian Carioca Matches</t>
  </si>
  <si>
    <t>Cambodian Premier League</t>
  </si>
  <si>
    <t>Greek Super League 2</t>
  </si>
  <si>
    <t>Romanian Liga I</t>
  </si>
  <si>
    <t>Greek Super League</t>
  </si>
  <si>
    <t>French Ligue 1</t>
  </si>
  <si>
    <t>Brazilian Paranaense Matches</t>
  </si>
  <si>
    <t>Egyptian Second Division B</t>
  </si>
  <si>
    <t>Saudi Professional League</t>
  </si>
  <si>
    <t>English Sky Bet Championship</t>
  </si>
  <si>
    <t>Salvadoran Primera Division</t>
  </si>
  <si>
    <t>Chilean Super Cup</t>
  </si>
  <si>
    <t>Brazilian Cearense Matches</t>
  </si>
  <si>
    <t>UEFA Europa League</t>
  </si>
  <si>
    <t>Egyptian 2nd Division</t>
  </si>
  <si>
    <t>Panamanian Liga Prom</t>
  </si>
  <si>
    <t>Colombian Primera A</t>
  </si>
  <si>
    <t>Azerbaijan Premier League</t>
  </si>
  <si>
    <t>Spanish Primera Federación - Group 2</t>
  </si>
  <si>
    <t>Thai League 2</t>
  </si>
  <si>
    <t>Dutch Eredivisie</t>
  </si>
  <si>
    <t>Spanish Primera Federación - Group 1</t>
  </si>
  <si>
    <t>Belgian Pro League</t>
  </si>
  <si>
    <t>Bulgarian A League</t>
  </si>
  <si>
    <t>Thai League 1</t>
  </si>
  <si>
    <t>Croatian Prva NL</t>
  </si>
  <si>
    <t>Ghanain Premier League</t>
  </si>
  <si>
    <t>French National</t>
  </si>
  <si>
    <t>Welsh Premiership</t>
  </si>
  <si>
    <t>Australian A-League Men</t>
  </si>
  <si>
    <t>Japanese J League</t>
  </si>
  <si>
    <t>Indonesian Super League</t>
  </si>
  <si>
    <t>Turkish 1 Lig</t>
  </si>
  <si>
    <t>English National League South</t>
  </si>
  <si>
    <t>Turkish Super League</t>
  </si>
  <si>
    <t>Brazilian Serie A</t>
  </si>
  <si>
    <t>Costa Rican Liga de Ascenso</t>
  </si>
  <si>
    <t>Italian Serie C Cup</t>
  </si>
  <si>
    <t>Costa Rican Primera Division</t>
  </si>
  <si>
    <t>Polish Ekstraklasa</t>
  </si>
  <si>
    <t>FIFA Arab Cup</t>
  </si>
  <si>
    <t>Jordanian Cup</t>
  </si>
  <si>
    <t>Honduras Liga Nacional</t>
  </si>
  <si>
    <t>UAE Division 1</t>
  </si>
  <si>
    <t>English National League North</t>
  </si>
  <si>
    <t>Norwegian 1st Division</t>
  </si>
  <si>
    <t>Croatian HNL</t>
  </si>
  <si>
    <t>Chilean Primera Division</t>
  </si>
  <si>
    <t>UEFA Europa Conference League</t>
  </si>
  <si>
    <t>Moroccan Botola Pro 1</t>
  </si>
  <si>
    <t>Brazilian Serie B</t>
  </si>
  <si>
    <t>Japanese J League 3</t>
  </si>
  <si>
    <t>Austrian Bundesliga</t>
  </si>
  <si>
    <t>Argentinian Primera Division</t>
  </si>
  <si>
    <t>Ukrainian Premier League</t>
  </si>
  <si>
    <t>Myanmar National League</t>
  </si>
  <si>
    <t>Romanian Liga II</t>
  </si>
  <si>
    <t>Czech 1 Liga</t>
  </si>
  <si>
    <t>Slovenian Premier League</t>
  </si>
  <si>
    <t>Cypriot 1st Division</t>
  </si>
  <si>
    <t>AFC Champions League</t>
  </si>
  <si>
    <t>AFC Champions League Two</t>
  </si>
  <si>
    <t>Japanese J League 2</t>
  </si>
  <si>
    <t>Republic of North Macedonian Soccer</t>
  </si>
  <si>
    <t>Panamanian Premier League</t>
  </si>
  <si>
    <t>Liverpool</t>
  </si>
  <si>
    <t>Sitra</t>
  </si>
  <si>
    <t>Usm Annaba</t>
  </si>
  <si>
    <t>ES Ben Aknoun</t>
  </si>
  <si>
    <t>Cittadella</t>
  </si>
  <si>
    <t>Genoa</t>
  </si>
  <si>
    <t>CD Trofense</t>
  </si>
  <si>
    <t>Huddersfield</t>
  </si>
  <si>
    <t>Cardiff</t>
  </si>
  <si>
    <t>Ternana</t>
  </si>
  <si>
    <t>Deportivo</t>
  </si>
  <si>
    <t>Al Bukayriyah</t>
  </si>
  <si>
    <t>Sassuolo</t>
  </si>
  <si>
    <t>Everton</t>
  </si>
  <si>
    <t>Avai</t>
  </si>
  <si>
    <t>Udinese</t>
  </si>
  <si>
    <t>Bastia</t>
  </si>
  <si>
    <t>Ayr</t>
  </si>
  <si>
    <t>Stenhousemuir</t>
  </si>
  <si>
    <t>Juve Stabia</t>
  </si>
  <si>
    <t>Derby</t>
  </si>
  <si>
    <t>Sochaux</t>
  </si>
  <si>
    <t>Inter</t>
  </si>
  <si>
    <t>Portmore Utd</t>
  </si>
  <si>
    <t>Al Najma (BRN)</t>
  </si>
  <si>
    <t>Finn Harps</t>
  </si>
  <si>
    <t>Dortmund</t>
  </si>
  <si>
    <t>Senegal</t>
  </si>
  <si>
    <t>Falkirk</t>
  </si>
  <si>
    <t>Galicia EC</t>
  </si>
  <si>
    <t>Ituano</t>
  </si>
  <si>
    <t>Esporte Clube Primavera</t>
  </si>
  <si>
    <t>North Esporte Clube</t>
  </si>
  <si>
    <t>Hobro</t>
  </si>
  <si>
    <t>Zanaco FC</t>
  </si>
  <si>
    <t>Motril CF</t>
  </si>
  <si>
    <t>Vizela</t>
  </si>
  <si>
    <t>CD Castellon</t>
  </si>
  <si>
    <t>Sampdoria</t>
  </si>
  <si>
    <t>Mazatlan FC</t>
  </si>
  <si>
    <t>Farense</t>
  </si>
  <si>
    <t>Gillingham</t>
  </si>
  <si>
    <t>Nacional (Uru)</t>
  </si>
  <si>
    <t>Volta Redonda</t>
  </si>
  <si>
    <t>Ministry of Interior FA</t>
  </si>
  <si>
    <t>PAE Chania</t>
  </si>
  <si>
    <t>Csikszereda</t>
  </si>
  <si>
    <t>Athlitiki Enosi Larissa</t>
  </si>
  <si>
    <t>Palermo</t>
  </si>
  <si>
    <t>Lyon</t>
  </si>
  <si>
    <t>Independente FSJ</t>
  </si>
  <si>
    <t>Misr El Makasa</t>
  </si>
  <si>
    <t>Al-Shabab (KSA)</t>
  </si>
  <si>
    <t>Novorizontino</t>
  </si>
  <si>
    <t>Watford</t>
  </si>
  <si>
    <t>CD Cacahuatique</t>
  </si>
  <si>
    <t>Coquimbo Unido</t>
  </si>
  <si>
    <t>Floresta EC</t>
  </si>
  <si>
    <t>Dinamo Zagreb</t>
  </si>
  <si>
    <t>Telecom Egypt SC</t>
  </si>
  <si>
    <t>Union Cocle (Res)</t>
  </si>
  <si>
    <t>La Equidad</t>
  </si>
  <si>
    <t>Shamakhi FK</t>
  </si>
  <si>
    <t>Atletico Madrid II</t>
  </si>
  <si>
    <t>Cambridge Utd</t>
  </si>
  <si>
    <t>1 Dezembro</t>
  </si>
  <si>
    <t>Leganes</t>
  </si>
  <si>
    <t>Crotone</t>
  </si>
  <si>
    <t>Universitatea Craiova</t>
  </si>
  <si>
    <t>Jacuipense BA</t>
  </si>
  <si>
    <t>Llaneros FC</t>
  </si>
  <si>
    <t>Police Tero</t>
  </si>
  <si>
    <t>PFK Turan Tovuz</t>
  </si>
  <si>
    <t>FC Groningen</t>
  </si>
  <si>
    <t>Tenerife</t>
  </si>
  <si>
    <t>Juventus</t>
  </si>
  <si>
    <t>Anderlecht</t>
  </si>
  <si>
    <t>Real Murcia</t>
  </si>
  <si>
    <t>Fuerte San Francisco</t>
  </si>
  <si>
    <t>Millonarios</t>
  </si>
  <si>
    <t>Birmingham</t>
  </si>
  <si>
    <t>Septemvri</t>
  </si>
  <si>
    <t>Ratchaburi</t>
  </si>
  <si>
    <t>Karlovac</t>
  </si>
  <si>
    <t>Techiman Eleven Wonders</t>
  </si>
  <si>
    <t>Dijon</t>
  </si>
  <si>
    <t>Bala Town</t>
  </si>
  <si>
    <t>Auckland FC</t>
  </si>
  <si>
    <t>Kashima</t>
  </si>
  <si>
    <t>PSM Makassar</t>
  </si>
  <si>
    <t>Umraniyespor</t>
  </si>
  <si>
    <t>Maidstone Utd</t>
  </si>
  <si>
    <t>Cheltenham</t>
  </si>
  <si>
    <t>Benfica B</t>
  </si>
  <si>
    <t>Kocaelispor</t>
  </si>
  <si>
    <t>Corinthians</t>
  </si>
  <si>
    <t>Inter San Carlos</t>
  </si>
  <si>
    <t>Racing United FC</t>
  </si>
  <si>
    <t>Torino</t>
  </si>
  <si>
    <t>Ravenna</t>
  </si>
  <si>
    <t>Spanish Town Police</t>
  </si>
  <si>
    <t>Junior FC Barranquilla</t>
  </si>
  <si>
    <t>Chelsea</t>
  </si>
  <si>
    <t>Ld Alajuelense</t>
  </si>
  <si>
    <t>Rakow Czestochowa</t>
  </si>
  <si>
    <t>Casertana</t>
  </si>
  <si>
    <t>Arzignanochiampo</t>
  </si>
  <si>
    <t>Morocco</t>
  </si>
  <si>
    <t>Cosenza</t>
  </si>
  <si>
    <t>Colchester</t>
  </si>
  <si>
    <t>Harrogate Town</t>
  </si>
  <si>
    <t>PSBS Biak Numfor</t>
  </si>
  <si>
    <t>Al Faisaly SC</t>
  </si>
  <si>
    <t>Union Brescia</t>
  </si>
  <si>
    <t>Real Espana</t>
  </si>
  <si>
    <t>Egypt</t>
  </si>
  <si>
    <t>MC Saida</t>
  </si>
  <si>
    <t>Algeria</t>
  </si>
  <si>
    <t>Luton</t>
  </si>
  <si>
    <t>Al-Ittifaq Maqaba</t>
  </si>
  <si>
    <t>Alfreton Town</t>
  </si>
  <si>
    <t>Aalesunds</t>
  </si>
  <si>
    <t>Raith</t>
  </si>
  <si>
    <t>Mansfield</t>
  </si>
  <si>
    <t>NK Istra</t>
  </si>
  <si>
    <t>Almeria</t>
  </si>
  <si>
    <t>Universidad de Chile</t>
  </si>
  <si>
    <t>Sao Paulo</t>
  </si>
  <si>
    <t>AEK Larnaca</t>
  </si>
  <si>
    <t>FAR Rabat</t>
  </si>
  <si>
    <t>Rayo Vallecano</t>
  </si>
  <si>
    <t>Shelbourne</t>
  </si>
  <si>
    <t>Al-Feiha</t>
  </si>
  <si>
    <t>Caen</t>
  </si>
  <si>
    <t>Spezia</t>
  </si>
  <si>
    <t>Athletic Club</t>
  </si>
  <si>
    <t>Nara Club</t>
  </si>
  <si>
    <t>Tochigi Uva FC</t>
  </si>
  <si>
    <t>USM Khenchela</t>
  </si>
  <si>
    <t>Austria Wien</t>
  </si>
  <si>
    <t>Le Havre</t>
  </si>
  <si>
    <t>Racing Club</t>
  </si>
  <si>
    <t>Hiroshima</t>
  </si>
  <si>
    <t>Slavia Sofia</t>
  </si>
  <si>
    <t>Oleksandria</t>
  </si>
  <si>
    <t>Legia Warsaw</t>
  </si>
  <si>
    <t>Cruzeiro MG</t>
  </si>
  <si>
    <t>Boyaca Chico</t>
  </si>
  <si>
    <t>Ind Medellin</t>
  </si>
  <si>
    <t>Bahia</t>
  </si>
  <si>
    <t>Las Palmas</t>
  </si>
  <si>
    <t>Catanzaro</t>
  </si>
  <si>
    <t>Mahar United FC</t>
  </si>
  <si>
    <t>FC Voluntari</t>
  </si>
  <si>
    <t>Dukla Prague</t>
  </si>
  <si>
    <t>Domzale</t>
  </si>
  <si>
    <t>Inverness CT</t>
  </si>
  <si>
    <t>Cadiz</t>
  </si>
  <si>
    <t>APOEL</t>
  </si>
  <si>
    <t>Gangwon</t>
  </si>
  <si>
    <t>Persik Kediri</t>
  </si>
  <si>
    <t>Tampines Rovers</t>
  </si>
  <si>
    <t>Abha</t>
  </si>
  <si>
    <t>Roma</t>
  </si>
  <si>
    <t>Jef Utd Chiba</t>
  </si>
  <si>
    <t>Chindia Targoviste</t>
  </si>
  <si>
    <t>Pelister Bitola</t>
  </si>
  <si>
    <t>FC Hunedoara</t>
  </si>
  <si>
    <t>Banik Ostrava</t>
  </si>
  <si>
    <t>Maidenhead</t>
  </si>
  <si>
    <t>Bradford</t>
  </si>
  <si>
    <t>Sakaryaspor</t>
  </si>
  <si>
    <t>Kifisia</t>
  </si>
  <si>
    <t>Racing de Ferrol</t>
  </si>
  <si>
    <t>Plaza Amador</t>
  </si>
  <si>
    <t>Boca Juniors</t>
  </si>
  <si>
    <t>Leeds</t>
  </si>
  <si>
    <t>Al-Shabbab (BRN)</t>
  </si>
  <si>
    <t>CA Batna</t>
  </si>
  <si>
    <t>Belouizdad</t>
  </si>
  <si>
    <t>SS Virtus Verona 1921</t>
  </si>
  <si>
    <t>Pisa</t>
  </si>
  <si>
    <t>Guimaraes B</t>
  </si>
  <si>
    <t>Exeter</t>
  </si>
  <si>
    <t>Wigan</t>
  </si>
  <si>
    <t>Livorno</t>
  </si>
  <si>
    <t>Al Batin</t>
  </si>
  <si>
    <t>Al-Muharraq</t>
  </si>
  <si>
    <t>Wolves</t>
  </si>
  <si>
    <t>Barra FC</t>
  </si>
  <si>
    <t>ESTAC Troyes</t>
  </si>
  <si>
    <t>Airdrieonians</t>
  </si>
  <si>
    <t>East Fife</t>
  </si>
  <si>
    <t>Pescara</t>
  </si>
  <si>
    <t>Lens</t>
  </si>
  <si>
    <t>Napoli</t>
  </si>
  <si>
    <t>Chapelton</t>
  </si>
  <si>
    <t>Al Riffa</t>
  </si>
  <si>
    <t>Sligo Rovers</t>
  </si>
  <si>
    <t>Werder Bremen</t>
  </si>
  <si>
    <t>Celtic</t>
  </si>
  <si>
    <t>SD Juazeirense</t>
  </si>
  <si>
    <t>Votuporanguense</t>
  </si>
  <si>
    <t>Mirassol</t>
  </si>
  <si>
    <t>Atletico MG</t>
  </si>
  <si>
    <t>AGF</t>
  </si>
  <si>
    <t>Napsa Stars</t>
  </si>
  <si>
    <t>UD Torre del Mar</t>
  </si>
  <si>
    <t>Pacos Ferreira</t>
  </si>
  <si>
    <t>Entella</t>
  </si>
  <si>
    <t>Monterrey</t>
  </si>
  <si>
    <t>Oliveirense</t>
  </si>
  <si>
    <t>Newport County</t>
  </si>
  <si>
    <t>Cerro Largo FC</t>
  </si>
  <si>
    <t>Flamengo</t>
  </si>
  <si>
    <t>Boeung Ket</t>
  </si>
  <si>
    <t>Egaleo</t>
  </si>
  <si>
    <t>Botosani</t>
  </si>
  <si>
    <t>Aris</t>
  </si>
  <si>
    <t>Brest</t>
  </si>
  <si>
    <t>Operario PR</t>
  </si>
  <si>
    <t>Fayoum FC</t>
  </si>
  <si>
    <t>Al Najma Club</t>
  </si>
  <si>
    <t>SE Palmeiras</t>
  </si>
  <si>
    <t>Portsmouth</t>
  </si>
  <si>
    <t>Alianza FC (SLV)</t>
  </si>
  <si>
    <t>Deportes Limache</t>
  </si>
  <si>
    <t>AD Iguatu</t>
  </si>
  <si>
    <t>FCSB</t>
  </si>
  <si>
    <t>Maleyeit Kafr El Zayiat</t>
  </si>
  <si>
    <t>Udelas FC</t>
  </si>
  <si>
    <t>Cucuta Deportivo</t>
  </si>
  <si>
    <t>FK Qabala</t>
  </si>
  <si>
    <t>Villarreal B</t>
  </si>
  <si>
    <t>Tranmere</t>
  </si>
  <si>
    <t>Lusitano</t>
  </si>
  <si>
    <t>Sociedad B</t>
  </si>
  <si>
    <t>Potenza</t>
  </si>
  <si>
    <t>Atletico Bucaramanga</t>
  </si>
  <si>
    <t>Songkla FC</t>
  </si>
  <si>
    <t>FK Sumqayit</t>
  </si>
  <si>
    <t>Fortuna Sittard</t>
  </si>
  <si>
    <t>Real Madrid Castilla</t>
  </si>
  <si>
    <t>FCV Dender</t>
  </si>
  <si>
    <t>Algeciras</t>
  </si>
  <si>
    <t>CD Fas</t>
  </si>
  <si>
    <t>CSKA 1948 Sofia</t>
  </si>
  <si>
    <t>Sukhothai</t>
  </si>
  <si>
    <t>Hrvace</t>
  </si>
  <si>
    <t>Swedru All Blacks FC</t>
  </si>
  <si>
    <t>Valenciennes</t>
  </si>
  <si>
    <t>Haverfordwest County</t>
  </si>
  <si>
    <t>Wellington Phoenix</t>
  </si>
  <si>
    <t>Yokohama FM</t>
  </si>
  <si>
    <t>Persebaya Surabaya</t>
  </si>
  <si>
    <t>Amed Sportif Faaliyetler</t>
  </si>
  <si>
    <t>Bath City</t>
  </si>
  <si>
    <t>Buxton</t>
  </si>
  <si>
    <t>Kasimpasa</t>
  </si>
  <si>
    <t>Juventude</t>
  </si>
  <si>
    <t>Quepos Cambute</t>
  </si>
  <si>
    <t>Molynes United FC</t>
  </si>
  <si>
    <t>AC Milan</t>
  </si>
  <si>
    <t>Renate</t>
  </si>
  <si>
    <t>Arnett Gardens FC</t>
  </si>
  <si>
    <t>Tolima</t>
  </si>
  <si>
    <t>AD Municipal Liberia</t>
  </si>
  <si>
    <t>Novara</t>
  </si>
  <si>
    <t>Zaglebie Lubin</t>
  </si>
  <si>
    <t>US Latina Calcio</t>
  </si>
  <si>
    <t>Aurora Pro Patria 1919</t>
  </si>
  <si>
    <t>UAE</t>
  </si>
  <si>
    <t>Cavese 1919</t>
  </si>
  <si>
    <t>MK Dons</t>
  </si>
  <si>
    <t>Bali Utd Pusam</t>
  </si>
  <si>
    <t>Shabab Al Ordon</t>
  </si>
  <si>
    <t>Inter Milan (Res)</t>
  </si>
  <si>
    <t>CD Motagua</t>
  </si>
  <si>
    <t>South Africa</t>
  </si>
  <si>
    <t>Charleroi</t>
  </si>
  <si>
    <t>WA Mostaganem</t>
  </si>
  <si>
    <t>Reggiana</t>
  </si>
  <si>
    <t>Cagliari</t>
  </si>
  <si>
    <t>Burkina Faso</t>
  </si>
  <si>
    <t>Leyton Orient</t>
  </si>
  <si>
    <t>Al Oruba</t>
  </si>
  <si>
    <t>Al-Quadisiya (KSA)</t>
  </si>
  <si>
    <t>Kidderminster</t>
  </si>
  <si>
    <t>Asane</t>
  </si>
  <si>
    <t>Morton</t>
  </si>
  <si>
    <t>Vukovar</t>
  </si>
  <si>
    <t>Eibar</t>
  </si>
  <si>
    <t>Everton De Vina</t>
  </si>
  <si>
    <t>Aberdeen</t>
  </si>
  <si>
    <t>FUS Rabat</t>
  </si>
  <si>
    <t>Lech Poznan</t>
  </si>
  <si>
    <t>KF Drita</t>
  </si>
  <si>
    <t>Al-Akhdoud</t>
  </si>
  <si>
    <t>Paris 13 Atletico</t>
  </si>
  <si>
    <t>SSD Bari</t>
  </si>
  <si>
    <t>Ferroviaria</t>
  </si>
  <si>
    <t>Vanraure Hachinohe</t>
  </si>
  <si>
    <t>Kamatamare Sanuki</t>
  </si>
  <si>
    <t>ES Mostaganem</t>
  </si>
  <si>
    <t>Grazer AK</t>
  </si>
  <si>
    <t>Leonesa</t>
  </si>
  <si>
    <t>Nantes</t>
  </si>
  <si>
    <t>Defensa y Justicia</t>
  </si>
  <si>
    <t>Urawa</t>
  </si>
  <si>
    <t>Montana</t>
  </si>
  <si>
    <t>Polissya Zhytomyr</t>
  </si>
  <si>
    <t>Nieciecza</t>
  </si>
  <si>
    <t>Fluminense</t>
  </si>
  <si>
    <t>America de Cali S.A</t>
  </si>
  <si>
    <t>Fortaleza EC</t>
  </si>
  <si>
    <t>Albacete</t>
  </si>
  <si>
    <t>Shan United</t>
  </si>
  <si>
    <t>CSC 1599 Selimbar</t>
  </si>
  <si>
    <t>Walsall</t>
  </si>
  <si>
    <t>Sigma Olomouc</t>
  </si>
  <si>
    <t>NK Celje</t>
  </si>
  <si>
    <t>Piast Gliwice</t>
  </si>
  <si>
    <t>Queen of South</t>
  </si>
  <si>
    <t>Lechia Gdansk</t>
  </si>
  <si>
    <t>Bodrum FK</t>
  </si>
  <si>
    <t>A.E.L.</t>
  </si>
  <si>
    <t>FC Machida</t>
  </si>
  <si>
    <t>Semen Padang</t>
  </si>
  <si>
    <t>Kaya</t>
  </si>
  <si>
    <t>Midtjylland</t>
  </si>
  <si>
    <t>Genclerbirligi</t>
  </si>
  <si>
    <t>FC Imabari</t>
  </si>
  <si>
    <t>CS Tunari</t>
  </si>
  <si>
    <t>FK Makedonija</t>
  </si>
  <si>
    <t>CS Afumati</t>
  </si>
  <si>
    <t>Verona</t>
  </si>
  <si>
    <t>Chippenham</t>
  </si>
  <si>
    <t>Panserraikos</t>
  </si>
  <si>
    <t>Merida AD</t>
  </si>
  <si>
    <t>Alianza FC (Pan)</t>
  </si>
  <si>
    <t>Argentinos Juniors</t>
  </si>
  <si>
    <t>OVER_05_HT</t>
  </si>
  <si>
    <t>2025-10-02</t>
  </si>
  <si>
    <t>Cong An Nhan Dan</t>
  </si>
  <si>
    <t>Wofoo Tai Po</t>
  </si>
  <si>
    <t>Celta Vigo</t>
  </si>
  <si>
    <t>PAOK</t>
  </si>
  <si>
    <t>Porto</t>
  </si>
  <si>
    <t>Crvena Zvezda</t>
  </si>
  <si>
    <t>Shakhtar</t>
  </si>
  <si>
    <t>2025-10-04</t>
  </si>
  <si>
    <t>Doncaster</t>
  </si>
  <si>
    <t>Burton Albion</t>
  </si>
  <si>
    <t>Crawley Town</t>
  </si>
  <si>
    <t>Ecuadorian Serie A</t>
  </si>
  <si>
    <t>Emelec</t>
  </si>
  <si>
    <t>Deportivo Cuenca</t>
  </si>
  <si>
    <t>Atl Tucuman</t>
  </si>
  <si>
    <t>CA Platense</t>
  </si>
  <si>
    <t>2025-10-12</t>
  </si>
  <si>
    <t>Israeli National League</t>
  </si>
  <si>
    <t>Hapoel Afula</t>
  </si>
  <si>
    <t>Hapoel Akko</t>
  </si>
  <si>
    <t>15:45:00</t>
  </si>
  <si>
    <t>FIFA World Cup Qualifiers - Europe</t>
  </si>
  <si>
    <t>Denmark</t>
  </si>
  <si>
    <t>Greece</t>
  </si>
  <si>
    <t>Chilean Primera B</t>
  </si>
  <si>
    <t>Univ de Concepcion</t>
  </si>
  <si>
    <t>Curico Unido</t>
  </si>
  <si>
    <t>21:15:00</t>
  </si>
  <si>
    <t>Argentinian Primera Nacional</t>
  </si>
  <si>
    <t>Deportivo Moron</t>
  </si>
  <si>
    <t>San Martin de Tucuman</t>
  </si>
  <si>
    <t>2025-10-13</t>
  </si>
  <si>
    <t>FIFA World Cup Qualifiers - Africa</t>
  </si>
  <si>
    <t>Equatorial Guinea</t>
  </si>
  <si>
    <t>Liberia</t>
  </si>
  <si>
    <t>2025-10-16</t>
  </si>
  <si>
    <t>20:15:00</t>
  </si>
  <si>
    <t>Olancho</t>
  </si>
  <si>
    <t>Juticalpa</t>
  </si>
  <si>
    <t>2025-10-17</t>
  </si>
  <si>
    <t>FC Tokyo</t>
  </si>
  <si>
    <t>Aubagne FC</t>
  </si>
  <si>
    <t>2025-10-18</t>
  </si>
  <si>
    <t>Spanish La Liga</t>
  </si>
  <si>
    <t>Sevilla</t>
  </si>
  <si>
    <t>Mallorca</t>
  </si>
  <si>
    <t>Egyptian Premier</t>
  </si>
  <si>
    <t>El Gounah</t>
  </si>
  <si>
    <t>National Bank</t>
  </si>
  <si>
    <t>Jagiellonia Bialystock</t>
  </si>
  <si>
    <t>Arka Gdynia</t>
  </si>
  <si>
    <t>2025-10-19</t>
  </si>
  <si>
    <t>03:30:00</t>
  </si>
  <si>
    <t>Indonesian Championship</t>
  </si>
  <si>
    <t>Persipura Jayapura</t>
  </si>
  <si>
    <t>Persiba Balikpapan</t>
  </si>
  <si>
    <t>10:15:00</t>
  </si>
  <si>
    <t>Uzbekistan Super League</t>
  </si>
  <si>
    <t>Neftchi Fargona</t>
  </si>
  <si>
    <t>Olmaliq</t>
  </si>
  <si>
    <t>11:45:00</t>
  </si>
  <si>
    <t>Heracles</t>
  </si>
  <si>
    <t>Feyenoord</t>
  </si>
  <si>
    <t>Norwegian Eliteserien</t>
  </si>
  <si>
    <t>KFUM Oslo</t>
  </si>
  <si>
    <t>Kristiansund</t>
  </si>
  <si>
    <t>Audace Cerignola</t>
  </si>
  <si>
    <t>Spanish Segunda Federación - Group 1</t>
  </si>
  <si>
    <t>Gimnastica Segoviana CF</t>
  </si>
  <si>
    <t>Real Avila CF</t>
  </si>
  <si>
    <t>CD Luis Angel Firpo</t>
  </si>
  <si>
    <t>2025-10-22</t>
  </si>
  <si>
    <t>G-Osaka</t>
  </si>
  <si>
    <t>Nam Dinh</t>
  </si>
  <si>
    <t>Al Ahli (QAT)</t>
  </si>
  <si>
    <t>Arkadag FK</t>
  </si>
  <si>
    <t>Tanzanian Premier League</t>
  </si>
  <si>
    <t>Coastal Union</t>
  </si>
  <si>
    <t>Fountain Gate</t>
  </si>
  <si>
    <t>Sheff Wed</t>
  </si>
  <si>
    <t>Middlesbrough</t>
  </si>
  <si>
    <t>Venezuelan Primera Division</t>
  </si>
  <si>
    <t>Carabobo FC</t>
  </si>
  <si>
    <t>Metropolitanos</t>
  </si>
  <si>
    <t>2025-10-23</t>
  </si>
  <si>
    <t>13:45:00</t>
  </si>
  <si>
    <t>Go Ahead Eagles</t>
  </si>
  <si>
    <t>Aston Villa</t>
  </si>
  <si>
    <t>2025-10-24</t>
  </si>
  <si>
    <t>Irish Premier Division</t>
  </si>
  <si>
    <t>St Patricks</t>
  </si>
  <si>
    <t>Waterford</t>
  </si>
  <si>
    <t>2025-10-25</t>
  </si>
  <si>
    <t>Coventry</t>
  </si>
  <si>
    <t>Girona</t>
  </si>
  <si>
    <t>Oviedo</t>
  </si>
  <si>
    <t>CS Constantine</t>
  </si>
  <si>
    <t>Olympique Akbou</t>
  </si>
  <si>
    <t>Belgian Challenger Pro League</t>
  </si>
  <si>
    <t>Waasland-Beveren</t>
  </si>
  <si>
    <t>Patro Eisden Maasmechelen</t>
  </si>
  <si>
    <t>US Cremonese</t>
  </si>
  <si>
    <t>Atalanta</t>
  </si>
  <si>
    <t>2025-10-26</t>
  </si>
  <si>
    <t>Sriwijaya</t>
  </si>
  <si>
    <t>Bekasi City</t>
  </si>
  <si>
    <t>Kazakhstan Premier League</t>
  </si>
  <si>
    <t>Okzhetpes</t>
  </si>
  <si>
    <t>FC Turan</t>
  </si>
  <si>
    <t>15:15:00</t>
  </si>
  <si>
    <t>Union St Gilloise</t>
  </si>
  <si>
    <t>Sint Truiden</t>
  </si>
  <si>
    <t>Olympiakos</t>
  </si>
  <si>
    <t>AEK Athens</t>
  </si>
  <si>
    <t>2025-10-27</t>
  </si>
  <si>
    <t>12:10:00</t>
  </si>
  <si>
    <t>Al-Wahda (KSA)</t>
  </si>
  <si>
    <t>Barracas Central</t>
  </si>
  <si>
    <t>2025-10-29</t>
  </si>
  <si>
    <t>Venezia</t>
  </si>
  <si>
    <t>Sudtirol</t>
  </si>
  <si>
    <t>20:05:00</t>
  </si>
  <si>
    <t>Argentinian Primera C</t>
  </si>
  <si>
    <t>CA Ituzaingo</t>
  </si>
  <si>
    <t>Deportivo Espanol</t>
  </si>
  <si>
    <t>2026-01-26</t>
  </si>
  <si>
    <t>22:30:00</t>
  </si>
  <si>
    <t>UMECIT</t>
  </si>
  <si>
    <t>2026-01-27</t>
  </si>
  <si>
    <t>St Pauli</t>
  </si>
  <si>
    <t>RB Leipzig</t>
  </si>
  <si>
    <t>2026-01-28</t>
  </si>
  <si>
    <t>09:50:00</t>
  </si>
  <si>
    <t>Al-Ula FC</t>
  </si>
  <si>
    <t>South African Premier Division</t>
  </si>
  <si>
    <t>Marumo Gallants FC</t>
  </si>
  <si>
    <t>Kaizer Chiefs</t>
  </si>
  <si>
    <t>Internacional</t>
  </si>
  <si>
    <t>Athletico-PR</t>
  </si>
  <si>
    <t>2026-01-30</t>
  </si>
  <si>
    <t>05:00:00</t>
  </si>
  <si>
    <t>Indonesian Liga 3</t>
  </si>
  <si>
    <t>Dejan FC</t>
  </si>
  <si>
    <t>Pekanbaru FC</t>
  </si>
  <si>
    <t>Karvan Evlakh</t>
  </si>
  <si>
    <t>Concarneau</t>
  </si>
  <si>
    <t>Bourg-en-Bresse</t>
  </si>
  <si>
    <t>2026-01-31</t>
  </si>
  <si>
    <t>Accrington</t>
  </si>
  <si>
    <t>Olympiakos Nicosia FC</t>
  </si>
  <si>
    <t>Porto B</t>
  </si>
  <si>
    <t>Deportivo La Guaira</t>
  </si>
  <si>
    <t>Monagas</t>
  </si>
  <si>
    <t>Inter FA</t>
  </si>
  <si>
    <t>2026-02-01</t>
  </si>
  <si>
    <t>Esan Pattaya</t>
  </si>
  <si>
    <t>Sassari Torres</t>
  </si>
  <si>
    <t>CAF Champions League</t>
  </si>
  <si>
    <t>Pyramids</t>
  </si>
  <si>
    <t>RSB Berkane</t>
  </si>
  <si>
    <t>Waterhouse FC</t>
  </si>
  <si>
    <t>Treasure Beach FC</t>
  </si>
  <si>
    <t>2026-02-02</t>
  </si>
  <si>
    <t>Hungarian NB II</t>
  </si>
  <si>
    <t>Honved</t>
  </si>
  <si>
    <t>Fehervar</t>
  </si>
  <si>
    <t>Sunderland</t>
  </si>
  <si>
    <t>Burnley</t>
  </si>
  <si>
    <t>Gimnasia La Plata</t>
  </si>
  <si>
    <t>Aldosivi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</si>
</sst>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1"/>
  <sheetViews>
    <sheetView tabSelected="1" topLeftCell="A215" workbookViewId="0">
      <selection activeCell="P220" sqref="P220"/>
    </sheetView>
  </sheetViews>
  <sheetFormatPr defaultRowHeight="14.4" x14ac:dyDescent="0.3"/>
  <cols>
    <col min="1" max="1" width="11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565</v>
      </c>
      <c r="B2" t="s">
        <v>125</v>
      </c>
      <c r="C2" t="s">
        <v>219</v>
      </c>
      <c r="D2" t="s">
        <v>566</v>
      </c>
      <c r="E2" t="s">
        <v>567</v>
      </c>
      <c r="F2">
        <v>1.28</v>
      </c>
      <c r="G2">
        <v>1.42</v>
      </c>
      <c r="H2">
        <v>5.8</v>
      </c>
      <c r="I2">
        <v>1.21</v>
      </c>
      <c r="J2" t="s">
        <v>564</v>
      </c>
      <c r="K2">
        <v>3</v>
      </c>
      <c r="L2">
        <v>0</v>
      </c>
      <c r="M2">
        <v>1</v>
      </c>
      <c r="N2">
        <f t="shared" ref="N2:N33" si="0">IF(M2=1,0.935*(I2-1),-1)</f>
        <v>0.19634999999999997</v>
      </c>
      <c r="O2">
        <f t="shared" ref="O2:O33" si="1">K2+L2</f>
        <v>3</v>
      </c>
    </row>
    <row r="3" spans="1:15" x14ac:dyDescent="0.3">
      <c r="A3" t="s">
        <v>565</v>
      </c>
      <c r="B3" t="s">
        <v>105</v>
      </c>
      <c r="C3" t="s">
        <v>171</v>
      </c>
      <c r="D3" t="s">
        <v>568</v>
      </c>
      <c r="E3" t="s">
        <v>569</v>
      </c>
      <c r="F3">
        <v>1.73</v>
      </c>
      <c r="G3">
        <v>5.6</v>
      </c>
      <c r="H3">
        <v>4</v>
      </c>
      <c r="I3">
        <v>1.42</v>
      </c>
      <c r="J3" t="s">
        <v>564</v>
      </c>
      <c r="K3">
        <v>3</v>
      </c>
      <c r="L3">
        <v>1</v>
      </c>
      <c r="M3">
        <v>1</v>
      </c>
      <c r="N3">
        <f t="shared" si="0"/>
        <v>0.39269999999999994</v>
      </c>
      <c r="O3">
        <f t="shared" si="1"/>
        <v>4</v>
      </c>
    </row>
    <row r="4" spans="1:15" x14ac:dyDescent="0.3">
      <c r="A4" t="s">
        <v>565</v>
      </c>
      <c r="B4" t="s">
        <v>105</v>
      </c>
      <c r="C4" t="s">
        <v>171</v>
      </c>
      <c r="D4" t="s">
        <v>570</v>
      </c>
      <c r="E4" t="s">
        <v>571</v>
      </c>
      <c r="F4">
        <v>1.54</v>
      </c>
      <c r="G4">
        <v>6.8</v>
      </c>
      <c r="H4">
        <v>4.8</v>
      </c>
      <c r="I4">
        <v>1.33</v>
      </c>
      <c r="J4" t="s">
        <v>564</v>
      </c>
      <c r="K4">
        <v>2</v>
      </c>
      <c r="L4">
        <v>1</v>
      </c>
      <c r="M4">
        <v>1</v>
      </c>
      <c r="N4">
        <f t="shared" ref="N4:N67" si="2">IF(M4=1,0.935*(I4-1),-1)</f>
        <v>0.3085500000000001</v>
      </c>
      <c r="O4">
        <f t="shared" ref="O4:O67" si="3">K4+L4</f>
        <v>3</v>
      </c>
    </row>
    <row r="5" spans="1:15" x14ac:dyDescent="0.3">
      <c r="A5" t="s">
        <v>565</v>
      </c>
      <c r="B5" t="s">
        <v>105</v>
      </c>
      <c r="C5" t="s">
        <v>206</v>
      </c>
      <c r="D5" t="s">
        <v>516</v>
      </c>
      <c r="E5" t="s">
        <v>572</v>
      </c>
      <c r="F5">
        <v>7.2</v>
      </c>
      <c r="G5">
        <v>1.52</v>
      </c>
      <c r="H5">
        <v>4.5999999999999996</v>
      </c>
      <c r="I5">
        <v>1.35</v>
      </c>
      <c r="J5" t="s">
        <v>564</v>
      </c>
      <c r="K5">
        <v>2</v>
      </c>
      <c r="L5">
        <v>3</v>
      </c>
      <c r="M5">
        <v>1</v>
      </c>
      <c r="N5">
        <f t="shared" si="2"/>
        <v>0.3272500000000001</v>
      </c>
      <c r="O5">
        <f t="shared" si="3"/>
        <v>5</v>
      </c>
    </row>
    <row r="6" spans="1:15" x14ac:dyDescent="0.3">
      <c r="A6" t="s">
        <v>565</v>
      </c>
      <c r="B6" t="s">
        <v>105</v>
      </c>
      <c r="C6" t="s">
        <v>206</v>
      </c>
      <c r="D6" t="s">
        <v>327</v>
      </c>
      <c r="E6" t="s">
        <v>291</v>
      </c>
      <c r="F6">
        <v>1.75</v>
      </c>
      <c r="G6">
        <v>5.5</v>
      </c>
      <c r="H6">
        <v>3.95</v>
      </c>
      <c r="I6">
        <v>1.41</v>
      </c>
      <c r="J6" t="s">
        <v>564</v>
      </c>
      <c r="K6">
        <v>2</v>
      </c>
      <c r="L6">
        <v>0</v>
      </c>
      <c r="M6">
        <v>0</v>
      </c>
      <c r="N6">
        <f t="shared" si="2"/>
        <v>-1</v>
      </c>
      <c r="O6">
        <f t="shared" si="3"/>
        <v>2</v>
      </c>
    </row>
    <row r="7" spans="1:15" x14ac:dyDescent="0.3">
      <c r="A7" t="s">
        <v>573</v>
      </c>
      <c r="B7" t="s">
        <v>126</v>
      </c>
      <c r="C7" t="s">
        <v>134</v>
      </c>
      <c r="D7" t="s">
        <v>574</v>
      </c>
      <c r="E7" t="s">
        <v>575</v>
      </c>
      <c r="F7">
        <v>1.76</v>
      </c>
      <c r="G7">
        <v>5.3</v>
      </c>
      <c r="H7">
        <v>3.95</v>
      </c>
      <c r="I7">
        <v>1.4</v>
      </c>
      <c r="J7" t="s">
        <v>564</v>
      </c>
      <c r="K7">
        <v>1</v>
      </c>
      <c r="L7">
        <v>1</v>
      </c>
      <c r="M7">
        <v>1</v>
      </c>
      <c r="N7">
        <f t="shared" si="2"/>
        <v>0.37399999999999994</v>
      </c>
      <c r="O7">
        <f t="shared" si="3"/>
        <v>2</v>
      </c>
    </row>
    <row r="8" spans="1:15" x14ac:dyDescent="0.3">
      <c r="A8" t="s">
        <v>573</v>
      </c>
      <c r="B8" t="s">
        <v>76</v>
      </c>
      <c r="C8" t="s">
        <v>156</v>
      </c>
      <c r="D8" t="s">
        <v>287</v>
      </c>
      <c r="E8" t="s">
        <v>576</v>
      </c>
      <c r="F8">
        <v>1.77</v>
      </c>
      <c r="G8">
        <v>5.0999999999999996</v>
      </c>
      <c r="H8">
        <v>3.85</v>
      </c>
      <c r="I8">
        <v>1.01</v>
      </c>
      <c r="J8" t="s">
        <v>564</v>
      </c>
      <c r="K8">
        <v>3</v>
      </c>
      <c r="L8">
        <v>1</v>
      </c>
      <c r="M8">
        <v>1</v>
      </c>
      <c r="N8">
        <f t="shared" si="2"/>
        <v>9.3500000000000093E-3</v>
      </c>
      <c r="O8">
        <f t="shared" si="3"/>
        <v>4</v>
      </c>
    </row>
    <row r="9" spans="1:15" x14ac:dyDescent="0.3">
      <c r="A9" t="s">
        <v>573</v>
      </c>
      <c r="B9" t="s">
        <v>91</v>
      </c>
      <c r="C9" t="s">
        <v>577</v>
      </c>
      <c r="D9" t="s">
        <v>578</v>
      </c>
      <c r="E9" t="s">
        <v>579</v>
      </c>
      <c r="F9">
        <v>2.06</v>
      </c>
      <c r="G9">
        <v>4.4000000000000004</v>
      </c>
      <c r="H9">
        <v>3.2</v>
      </c>
      <c r="I9">
        <v>1.58</v>
      </c>
      <c r="J9" t="s">
        <v>564</v>
      </c>
      <c r="K9">
        <v>3</v>
      </c>
      <c r="L9">
        <v>1</v>
      </c>
      <c r="M9">
        <v>1</v>
      </c>
      <c r="N9">
        <f t="shared" si="2"/>
        <v>0.54230000000000012</v>
      </c>
      <c r="O9">
        <f t="shared" si="3"/>
        <v>4</v>
      </c>
    </row>
    <row r="10" spans="1:15" x14ac:dyDescent="0.3">
      <c r="A10" t="s">
        <v>573</v>
      </c>
      <c r="B10" t="s">
        <v>92</v>
      </c>
      <c r="C10" t="s">
        <v>211</v>
      </c>
      <c r="D10" t="s">
        <v>580</v>
      </c>
      <c r="E10" t="s">
        <v>581</v>
      </c>
      <c r="F10">
        <v>2.2200000000000002</v>
      </c>
      <c r="G10">
        <v>4.0999999999999996</v>
      </c>
      <c r="H10">
        <v>3.05</v>
      </c>
      <c r="I10">
        <v>1.65</v>
      </c>
      <c r="J10" t="s">
        <v>564</v>
      </c>
      <c r="K10">
        <v>2</v>
      </c>
      <c r="L10">
        <v>0</v>
      </c>
      <c r="M10">
        <v>0</v>
      </c>
      <c r="N10">
        <f t="shared" si="2"/>
        <v>-1</v>
      </c>
      <c r="O10">
        <f t="shared" si="3"/>
        <v>2</v>
      </c>
    </row>
    <row r="11" spans="1:15" x14ac:dyDescent="0.3">
      <c r="A11" t="s">
        <v>582</v>
      </c>
      <c r="B11" t="s">
        <v>84</v>
      </c>
      <c r="C11" t="s">
        <v>583</v>
      </c>
      <c r="D11" t="s">
        <v>584</v>
      </c>
      <c r="E11" t="s">
        <v>585</v>
      </c>
      <c r="F11">
        <v>6.4</v>
      </c>
      <c r="G11">
        <v>1.48</v>
      </c>
      <c r="H11">
        <v>4</v>
      </c>
      <c r="I11">
        <v>1.3</v>
      </c>
      <c r="J11" t="s">
        <v>564</v>
      </c>
      <c r="K11">
        <v>2</v>
      </c>
      <c r="L11">
        <v>2</v>
      </c>
      <c r="M11">
        <v>1</v>
      </c>
      <c r="N11">
        <f t="shared" si="2"/>
        <v>0.28050000000000008</v>
      </c>
      <c r="O11">
        <f t="shared" si="3"/>
        <v>4</v>
      </c>
    </row>
    <row r="12" spans="1:15" x14ac:dyDescent="0.3">
      <c r="A12" t="s">
        <v>582</v>
      </c>
      <c r="B12" t="s">
        <v>586</v>
      </c>
      <c r="C12" t="s">
        <v>587</v>
      </c>
      <c r="D12" t="s">
        <v>588</v>
      </c>
      <c r="E12" t="s">
        <v>589</v>
      </c>
      <c r="F12">
        <v>1.7</v>
      </c>
      <c r="G12">
        <v>5.9</v>
      </c>
      <c r="H12">
        <v>4</v>
      </c>
      <c r="I12">
        <v>1.41</v>
      </c>
      <c r="J12" t="s">
        <v>564</v>
      </c>
      <c r="K12">
        <v>3</v>
      </c>
      <c r="L12">
        <v>1</v>
      </c>
      <c r="M12">
        <v>1</v>
      </c>
      <c r="N12">
        <f t="shared" si="2"/>
        <v>0.38334999999999997</v>
      </c>
      <c r="O12">
        <f t="shared" si="3"/>
        <v>4</v>
      </c>
    </row>
    <row r="13" spans="1:15" x14ac:dyDescent="0.3">
      <c r="A13" t="s">
        <v>582</v>
      </c>
      <c r="B13" t="s">
        <v>118</v>
      </c>
      <c r="C13" t="s">
        <v>590</v>
      </c>
      <c r="D13" t="s">
        <v>591</v>
      </c>
      <c r="E13" t="s">
        <v>592</v>
      </c>
      <c r="F13">
        <v>1.73</v>
      </c>
      <c r="G13">
        <v>4.9000000000000004</v>
      </c>
      <c r="H13">
        <v>3.3</v>
      </c>
      <c r="I13">
        <v>1.01</v>
      </c>
      <c r="J13" t="s">
        <v>564</v>
      </c>
      <c r="K13">
        <v>2</v>
      </c>
      <c r="L13">
        <v>0</v>
      </c>
      <c r="M13">
        <v>0</v>
      </c>
      <c r="N13">
        <f t="shared" si="2"/>
        <v>-1</v>
      </c>
      <c r="O13">
        <f t="shared" si="3"/>
        <v>2</v>
      </c>
    </row>
    <row r="14" spans="1:15" x14ac:dyDescent="0.3">
      <c r="A14" t="s">
        <v>582</v>
      </c>
      <c r="B14" t="s">
        <v>593</v>
      </c>
      <c r="C14" t="s">
        <v>594</v>
      </c>
      <c r="D14" t="s">
        <v>595</v>
      </c>
      <c r="E14" t="s">
        <v>596</v>
      </c>
      <c r="F14">
        <v>1.98</v>
      </c>
      <c r="G14">
        <v>5.0999999999999996</v>
      </c>
      <c r="H14">
        <v>2.88</v>
      </c>
      <c r="I14">
        <v>1.6</v>
      </c>
      <c r="J14" t="s">
        <v>564</v>
      </c>
      <c r="K14">
        <v>0</v>
      </c>
      <c r="L14">
        <v>0</v>
      </c>
      <c r="M14">
        <v>0</v>
      </c>
      <c r="N14">
        <f t="shared" si="2"/>
        <v>-1</v>
      </c>
      <c r="O14">
        <f t="shared" si="3"/>
        <v>0</v>
      </c>
    </row>
    <row r="15" spans="1:15" x14ac:dyDescent="0.3">
      <c r="A15" t="s">
        <v>597</v>
      </c>
      <c r="B15" t="s">
        <v>77</v>
      </c>
      <c r="C15" t="s">
        <v>598</v>
      </c>
      <c r="D15" t="s">
        <v>599</v>
      </c>
      <c r="E15" t="s">
        <v>600</v>
      </c>
      <c r="F15">
        <v>1.98</v>
      </c>
      <c r="G15">
        <v>5.0999999999999996</v>
      </c>
      <c r="H15">
        <v>3.05</v>
      </c>
      <c r="I15">
        <v>1.55</v>
      </c>
      <c r="J15" t="s">
        <v>564</v>
      </c>
      <c r="K15">
        <v>1</v>
      </c>
      <c r="L15">
        <v>1</v>
      </c>
      <c r="M15">
        <v>1</v>
      </c>
      <c r="N15">
        <f t="shared" si="2"/>
        <v>0.5142500000000001</v>
      </c>
      <c r="O15">
        <f t="shared" si="3"/>
        <v>2</v>
      </c>
    </row>
    <row r="16" spans="1:15" x14ac:dyDescent="0.3">
      <c r="A16" t="s">
        <v>601</v>
      </c>
      <c r="B16" t="s">
        <v>602</v>
      </c>
      <c r="C16" t="s">
        <v>200</v>
      </c>
      <c r="D16" t="s">
        <v>603</v>
      </c>
      <c r="E16" t="s">
        <v>604</v>
      </c>
      <c r="F16">
        <v>1.5</v>
      </c>
      <c r="G16">
        <v>5.7</v>
      </c>
      <c r="H16">
        <v>4.0999999999999996</v>
      </c>
      <c r="I16">
        <v>1.34</v>
      </c>
      <c r="J16" t="s">
        <v>564</v>
      </c>
      <c r="K16">
        <v>0</v>
      </c>
      <c r="L16">
        <v>1</v>
      </c>
      <c r="M16">
        <v>1</v>
      </c>
      <c r="N16">
        <f t="shared" si="2"/>
        <v>0.31790000000000007</v>
      </c>
      <c r="O16">
        <f t="shared" si="3"/>
        <v>1</v>
      </c>
    </row>
    <row r="17" spans="1:15" x14ac:dyDescent="0.3">
      <c r="A17" t="s">
        <v>605</v>
      </c>
      <c r="B17" t="s">
        <v>102</v>
      </c>
      <c r="C17" t="s">
        <v>188</v>
      </c>
      <c r="D17" t="s">
        <v>365</v>
      </c>
      <c r="E17" t="s">
        <v>606</v>
      </c>
      <c r="F17">
        <v>1.62</v>
      </c>
      <c r="G17">
        <v>6</v>
      </c>
      <c r="H17">
        <v>4.2</v>
      </c>
      <c r="I17">
        <v>1.35</v>
      </c>
      <c r="J17" t="s">
        <v>564</v>
      </c>
      <c r="K17">
        <v>0</v>
      </c>
      <c r="L17">
        <v>0</v>
      </c>
      <c r="M17">
        <v>0</v>
      </c>
      <c r="N17">
        <f t="shared" si="2"/>
        <v>-1</v>
      </c>
      <c r="O17">
        <f t="shared" si="3"/>
        <v>0</v>
      </c>
    </row>
    <row r="18" spans="1:15" x14ac:dyDescent="0.3">
      <c r="A18" t="s">
        <v>605</v>
      </c>
      <c r="B18" t="s">
        <v>74</v>
      </c>
      <c r="C18" t="s">
        <v>185</v>
      </c>
      <c r="D18" t="s">
        <v>244</v>
      </c>
      <c r="E18" t="s">
        <v>607</v>
      </c>
      <c r="F18">
        <v>1.82</v>
      </c>
      <c r="G18">
        <v>5.0999999999999996</v>
      </c>
      <c r="H18">
        <v>3.5</v>
      </c>
      <c r="I18">
        <v>1.01</v>
      </c>
      <c r="J18" t="s">
        <v>564</v>
      </c>
      <c r="K18">
        <v>2</v>
      </c>
      <c r="L18">
        <v>0</v>
      </c>
      <c r="M18">
        <v>1</v>
      </c>
      <c r="N18">
        <f t="shared" si="2"/>
        <v>9.3500000000000093E-3</v>
      </c>
      <c r="O18">
        <f t="shared" si="3"/>
        <v>2</v>
      </c>
    </row>
    <row r="19" spans="1:15" x14ac:dyDescent="0.3">
      <c r="A19" t="s">
        <v>608</v>
      </c>
      <c r="B19" t="s">
        <v>89</v>
      </c>
      <c r="C19" t="s">
        <v>609</v>
      </c>
      <c r="D19" t="s">
        <v>610</v>
      </c>
      <c r="E19" t="s">
        <v>611</v>
      </c>
      <c r="F19">
        <v>1.91</v>
      </c>
      <c r="G19">
        <v>5.2</v>
      </c>
      <c r="H19">
        <v>3.5</v>
      </c>
      <c r="I19">
        <v>1.49</v>
      </c>
      <c r="J19" t="s">
        <v>564</v>
      </c>
      <c r="K19">
        <v>1</v>
      </c>
      <c r="L19">
        <v>3</v>
      </c>
      <c r="M19">
        <v>1</v>
      </c>
      <c r="N19">
        <f t="shared" si="2"/>
        <v>0.45815</v>
      </c>
      <c r="O19">
        <f t="shared" si="3"/>
        <v>4</v>
      </c>
    </row>
    <row r="20" spans="1:15" x14ac:dyDescent="0.3">
      <c r="A20" t="s">
        <v>608</v>
      </c>
      <c r="B20" t="s">
        <v>76</v>
      </c>
      <c r="C20" t="s">
        <v>134</v>
      </c>
      <c r="D20" t="s">
        <v>341</v>
      </c>
      <c r="E20" t="s">
        <v>346</v>
      </c>
      <c r="F20">
        <v>1.78</v>
      </c>
      <c r="G20">
        <v>5.2</v>
      </c>
      <c r="H20">
        <v>3.9</v>
      </c>
      <c r="I20">
        <v>1.41</v>
      </c>
      <c r="J20" t="s">
        <v>564</v>
      </c>
      <c r="K20">
        <v>0</v>
      </c>
      <c r="L20">
        <v>2</v>
      </c>
      <c r="M20">
        <v>1</v>
      </c>
      <c r="N20">
        <f t="shared" si="2"/>
        <v>0.38334999999999997</v>
      </c>
      <c r="O20">
        <f t="shared" si="3"/>
        <v>2</v>
      </c>
    </row>
    <row r="21" spans="1:15" x14ac:dyDescent="0.3">
      <c r="A21" t="s">
        <v>608</v>
      </c>
      <c r="B21" t="s">
        <v>76</v>
      </c>
      <c r="C21" t="s">
        <v>612</v>
      </c>
      <c r="D21" t="s">
        <v>613</v>
      </c>
      <c r="E21" t="s">
        <v>614</v>
      </c>
      <c r="F21">
        <v>4.3</v>
      </c>
      <c r="G21">
        <v>2.2200000000000002</v>
      </c>
      <c r="H21">
        <v>2.82</v>
      </c>
      <c r="I21">
        <v>1.71</v>
      </c>
      <c r="J21" t="s">
        <v>564</v>
      </c>
      <c r="K21">
        <v>0</v>
      </c>
      <c r="L21">
        <v>3</v>
      </c>
      <c r="M21">
        <v>1</v>
      </c>
      <c r="N21">
        <f t="shared" si="2"/>
        <v>0.66385000000000005</v>
      </c>
      <c r="O21">
        <f t="shared" si="3"/>
        <v>3</v>
      </c>
    </row>
    <row r="22" spans="1:15" x14ac:dyDescent="0.3">
      <c r="A22" t="s">
        <v>608</v>
      </c>
      <c r="B22" t="s">
        <v>115</v>
      </c>
      <c r="C22" t="s">
        <v>197</v>
      </c>
      <c r="D22" t="s">
        <v>615</v>
      </c>
      <c r="E22" t="s">
        <v>616</v>
      </c>
      <c r="F22">
        <v>1.62</v>
      </c>
      <c r="G22">
        <v>6</v>
      </c>
      <c r="H22">
        <v>4.0999999999999996</v>
      </c>
      <c r="I22">
        <v>1.37</v>
      </c>
      <c r="J22" t="s">
        <v>564</v>
      </c>
      <c r="K22">
        <v>4</v>
      </c>
      <c r="L22">
        <v>0</v>
      </c>
      <c r="M22">
        <v>1</v>
      </c>
      <c r="N22">
        <f t="shared" si="2"/>
        <v>0.34595000000000015</v>
      </c>
      <c r="O22">
        <f t="shared" si="3"/>
        <v>4</v>
      </c>
    </row>
    <row r="23" spans="1:15" x14ac:dyDescent="0.3">
      <c r="A23" t="s">
        <v>608</v>
      </c>
      <c r="B23" t="s">
        <v>84</v>
      </c>
      <c r="C23" t="s">
        <v>132</v>
      </c>
      <c r="D23" t="s">
        <v>321</v>
      </c>
      <c r="E23" t="s">
        <v>418</v>
      </c>
      <c r="F23">
        <v>5.7</v>
      </c>
      <c r="G23">
        <v>1.88</v>
      </c>
      <c r="H23">
        <v>3.4</v>
      </c>
      <c r="I23">
        <v>1.53</v>
      </c>
      <c r="J23" t="s">
        <v>564</v>
      </c>
      <c r="K23">
        <v>1</v>
      </c>
      <c r="L23">
        <v>0</v>
      </c>
      <c r="M23">
        <v>1</v>
      </c>
      <c r="N23">
        <f t="shared" si="2"/>
        <v>0.49555000000000005</v>
      </c>
      <c r="O23">
        <f t="shared" si="3"/>
        <v>1</v>
      </c>
    </row>
    <row r="24" spans="1:15" x14ac:dyDescent="0.3">
      <c r="A24" t="s">
        <v>617</v>
      </c>
      <c r="B24" t="s">
        <v>618</v>
      </c>
      <c r="C24" t="s">
        <v>619</v>
      </c>
      <c r="D24" t="s">
        <v>620</v>
      </c>
      <c r="E24" t="s">
        <v>621</v>
      </c>
      <c r="F24">
        <v>1.35</v>
      </c>
      <c r="G24">
        <v>6.6</v>
      </c>
      <c r="H24">
        <v>4.2</v>
      </c>
      <c r="I24">
        <v>1.32</v>
      </c>
      <c r="J24" t="s">
        <v>564</v>
      </c>
      <c r="K24">
        <v>1</v>
      </c>
      <c r="L24">
        <v>0</v>
      </c>
      <c r="M24">
        <v>0</v>
      </c>
      <c r="N24">
        <f t="shared" si="2"/>
        <v>-1</v>
      </c>
      <c r="O24">
        <f t="shared" si="3"/>
        <v>1</v>
      </c>
    </row>
    <row r="25" spans="1:15" x14ac:dyDescent="0.3">
      <c r="A25" t="s">
        <v>617</v>
      </c>
      <c r="B25" t="s">
        <v>622</v>
      </c>
      <c r="C25" t="s">
        <v>623</v>
      </c>
      <c r="D25" t="s">
        <v>624</v>
      </c>
      <c r="E25" t="s">
        <v>625</v>
      </c>
      <c r="F25">
        <v>1.62</v>
      </c>
      <c r="G25">
        <v>6</v>
      </c>
      <c r="H25">
        <v>3.9</v>
      </c>
      <c r="I25">
        <v>1.41</v>
      </c>
      <c r="J25" t="s">
        <v>564</v>
      </c>
      <c r="K25">
        <v>1</v>
      </c>
      <c r="L25">
        <v>0</v>
      </c>
      <c r="M25">
        <v>1</v>
      </c>
      <c r="N25">
        <f t="shared" si="2"/>
        <v>0.38334999999999997</v>
      </c>
      <c r="O25">
        <f t="shared" si="3"/>
        <v>1</v>
      </c>
    </row>
    <row r="26" spans="1:15" x14ac:dyDescent="0.3">
      <c r="A26" t="s">
        <v>617</v>
      </c>
      <c r="B26" t="s">
        <v>626</v>
      </c>
      <c r="C26" t="s">
        <v>178</v>
      </c>
      <c r="D26" t="s">
        <v>627</v>
      </c>
      <c r="E26" t="s">
        <v>628</v>
      </c>
      <c r="F26">
        <v>9.1999999999999993</v>
      </c>
      <c r="G26">
        <v>1.38</v>
      </c>
      <c r="H26">
        <v>5.7</v>
      </c>
      <c r="I26">
        <v>1.27</v>
      </c>
      <c r="J26" t="s">
        <v>564</v>
      </c>
      <c r="K26">
        <v>0</v>
      </c>
      <c r="L26">
        <v>7</v>
      </c>
      <c r="M26">
        <v>1</v>
      </c>
      <c r="N26">
        <f t="shared" si="2"/>
        <v>0.25245000000000001</v>
      </c>
      <c r="O26">
        <f t="shared" si="3"/>
        <v>7</v>
      </c>
    </row>
    <row r="27" spans="1:15" x14ac:dyDescent="0.3">
      <c r="A27" t="s">
        <v>617</v>
      </c>
      <c r="B27" t="s">
        <v>80</v>
      </c>
      <c r="C27" t="s">
        <v>629</v>
      </c>
      <c r="D27" t="s">
        <v>630</v>
      </c>
      <c r="E27" t="s">
        <v>631</v>
      </c>
      <c r="F27">
        <v>1.63</v>
      </c>
      <c r="G27">
        <v>6.2</v>
      </c>
      <c r="H27">
        <v>4.2</v>
      </c>
      <c r="I27">
        <v>1.39</v>
      </c>
      <c r="J27" t="s">
        <v>564</v>
      </c>
      <c r="K27">
        <v>1</v>
      </c>
      <c r="L27">
        <v>1</v>
      </c>
      <c r="M27">
        <v>1</v>
      </c>
      <c r="N27">
        <f t="shared" si="2"/>
        <v>0.36464999999999992</v>
      </c>
      <c r="O27">
        <f t="shared" si="3"/>
        <v>2</v>
      </c>
    </row>
    <row r="28" spans="1:15" x14ac:dyDescent="0.3">
      <c r="A28" t="s">
        <v>617</v>
      </c>
      <c r="B28" t="s">
        <v>115</v>
      </c>
      <c r="C28" t="s">
        <v>131</v>
      </c>
      <c r="D28" t="s">
        <v>632</v>
      </c>
      <c r="E28" t="s">
        <v>495</v>
      </c>
      <c r="F28">
        <v>1.75</v>
      </c>
      <c r="G28">
        <v>5.2</v>
      </c>
      <c r="H28">
        <v>3.4</v>
      </c>
      <c r="I28">
        <v>1.49</v>
      </c>
      <c r="J28" t="s">
        <v>564</v>
      </c>
      <c r="K28">
        <v>1</v>
      </c>
      <c r="L28">
        <v>3</v>
      </c>
      <c r="M28">
        <v>1</v>
      </c>
      <c r="N28">
        <f t="shared" si="2"/>
        <v>0.45815</v>
      </c>
      <c r="O28">
        <f t="shared" si="3"/>
        <v>4</v>
      </c>
    </row>
    <row r="29" spans="1:15" x14ac:dyDescent="0.3">
      <c r="A29" t="s">
        <v>617</v>
      </c>
      <c r="B29" t="s">
        <v>84</v>
      </c>
      <c r="C29" t="s">
        <v>633</v>
      </c>
      <c r="D29" t="s">
        <v>634</v>
      </c>
      <c r="E29" t="s">
        <v>635</v>
      </c>
      <c r="F29">
        <v>1.94</v>
      </c>
      <c r="G29">
        <v>4.5</v>
      </c>
      <c r="H29">
        <v>3.05</v>
      </c>
      <c r="I29">
        <v>1.56</v>
      </c>
      <c r="J29" t="s">
        <v>564</v>
      </c>
      <c r="K29">
        <v>1</v>
      </c>
      <c r="L29">
        <v>0</v>
      </c>
      <c r="M29">
        <v>0</v>
      </c>
      <c r="N29">
        <f t="shared" si="2"/>
        <v>-1</v>
      </c>
      <c r="O29">
        <f t="shared" si="3"/>
        <v>1</v>
      </c>
    </row>
    <row r="30" spans="1:15" x14ac:dyDescent="0.3">
      <c r="A30" t="s">
        <v>617</v>
      </c>
      <c r="B30" t="s">
        <v>100</v>
      </c>
      <c r="C30" t="s">
        <v>168</v>
      </c>
      <c r="D30" t="s">
        <v>301</v>
      </c>
      <c r="E30" t="s">
        <v>636</v>
      </c>
      <c r="F30">
        <v>4.9000000000000004</v>
      </c>
      <c r="G30">
        <v>1.65</v>
      </c>
      <c r="H30">
        <v>3.75</v>
      </c>
      <c r="I30">
        <v>1.38</v>
      </c>
      <c r="J30" t="s">
        <v>564</v>
      </c>
      <c r="K30">
        <v>1</v>
      </c>
      <c r="L30">
        <v>4</v>
      </c>
      <c r="M30">
        <v>1</v>
      </c>
      <c r="N30">
        <f t="shared" si="2"/>
        <v>0.35529999999999989</v>
      </c>
      <c r="O30">
        <f t="shared" si="3"/>
        <v>5</v>
      </c>
    </row>
    <row r="31" spans="1:15" x14ac:dyDescent="0.3">
      <c r="A31" t="s">
        <v>637</v>
      </c>
      <c r="B31" t="s">
        <v>102</v>
      </c>
      <c r="C31" t="s">
        <v>219</v>
      </c>
      <c r="D31" t="s">
        <v>638</v>
      </c>
      <c r="E31" t="s">
        <v>639</v>
      </c>
      <c r="F31">
        <v>1.33</v>
      </c>
      <c r="G31">
        <v>11</v>
      </c>
      <c r="H31">
        <v>5.5</v>
      </c>
      <c r="I31">
        <v>1.25</v>
      </c>
      <c r="J31" t="s">
        <v>564</v>
      </c>
      <c r="K31">
        <v>3</v>
      </c>
      <c r="L31">
        <v>1</v>
      </c>
      <c r="M31">
        <v>1</v>
      </c>
      <c r="N31">
        <f t="shared" si="2"/>
        <v>0.23375000000000001</v>
      </c>
      <c r="O31">
        <f t="shared" si="3"/>
        <v>4</v>
      </c>
    </row>
    <row r="32" spans="1:15" x14ac:dyDescent="0.3">
      <c r="A32" t="s">
        <v>637</v>
      </c>
      <c r="B32" t="s">
        <v>84</v>
      </c>
      <c r="C32" t="s">
        <v>219</v>
      </c>
      <c r="D32" t="s">
        <v>640</v>
      </c>
      <c r="E32" t="s">
        <v>641</v>
      </c>
      <c r="F32">
        <v>1.45</v>
      </c>
      <c r="G32">
        <v>5.6</v>
      </c>
      <c r="H32">
        <v>4.5999999999999996</v>
      </c>
      <c r="I32">
        <v>1.35</v>
      </c>
      <c r="J32" t="s">
        <v>564</v>
      </c>
      <c r="K32">
        <v>2</v>
      </c>
      <c r="L32">
        <v>2</v>
      </c>
      <c r="M32">
        <v>1</v>
      </c>
      <c r="N32">
        <f t="shared" si="2"/>
        <v>0.3272500000000001</v>
      </c>
      <c r="O32">
        <f t="shared" si="3"/>
        <v>4</v>
      </c>
    </row>
    <row r="33" spans="1:15" x14ac:dyDescent="0.3">
      <c r="A33" t="s">
        <v>637</v>
      </c>
      <c r="B33" t="s">
        <v>84</v>
      </c>
      <c r="C33" t="s">
        <v>642</v>
      </c>
      <c r="D33" t="s">
        <v>643</v>
      </c>
      <c r="E33" t="s">
        <v>644</v>
      </c>
      <c r="F33">
        <v>1.87</v>
      </c>
      <c r="G33">
        <v>4</v>
      </c>
      <c r="H33">
        <v>3</v>
      </c>
      <c r="I33">
        <v>1.52</v>
      </c>
      <c r="J33" t="s">
        <v>564</v>
      </c>
      <c r="K33">
        <v>1</v>
      </c>
      <c r="L33">
        <v>1</v>
      </c>
      <c r="M33">
        <v>1</v>
      </c>
      <c r="N33">
        <f t="shared" si="2"/>
        <v>0.48620000000000002</v>
      </c>
      <c r="O33">
        <f t="shared" si="3"/>
        <v>2</v>
      </c>
    </row>
    <row r="34" spans="1:15" x14ac:dyDescent="0.3">
      <c r="A34" t="s">
        <v>637</v>
      </c>
      <c r="B34" t="s">
        <v>105</v>
      </c>
      <c r="C34" t="s">
        <v>167</v>
      </c>
      <c r="D34" t="s">
        <v>645</v>
      </c>
      <c r="E34" t="s">
        <v>646</v>
      </c>
      <c r="F34">
        <v>5.6</v>
      </c>
      <c r="G34">
        <v>1.7</v>
      </c>
      <c r="H34">
        <v>4.0999999999999996</v>
      </c>
      <c r="I34">
        <v>1.41</v>
      </c>
      <c r="J34" t="s">
        <v>564</v>
      </c>
      <c r="K34">
        <v>0</v>
      </c>
      <c r="L34">
        <v>1</v>
      </c>
      <c r="M34">
        <v>1</v>
      </c>
      <c r="N34">
        <f t="shared" si="2"/>
        <v>0.38334999999999997</v>
      </c>
      <c r="O34">
        <f t="shared" si="3"/>
        <v>1</v>
      </c>
    </row>
    <row r="35" spans="1:15" x14ac:dyDescent="0.3">
      <c r="A35" t="s">
        <v>637</v>
      </c>
      <c r="B35" t="s">
        <v>91</v>
      </c>
      <c r="C35" t="s">
        <v>647</v>
      </c>
      <c r="D35" t="s">
        <v>648</v>
      </c>
      <c r="E35" t="s">
        <v>649</v>
      </c>
      <c r="F35">
        <v>1.58</v>
      </c>
      <c r="G35">
        <v>6.4</v>
      </c>
      <c r="H35">
        <v>3.85</v>
      </c>
      <c r="I35">
        <v>1.41</v>
      </c>
      <c r="J35" t="s">
        <v>564</v>
      </c>
      <c r="K35">
        <v>1</v>
      </c>
      <c r="L35">
        <v>0</v>
      </c>
      <c r="M35">
        <v>0</v>
      </c>
      <c r="N35">
        <f t="shared" si="2"/>
        <v>-1</v>
      </c>
      <c r="O35">
        <f t="shared" si="3"/>
        <v>1</v>
      </c>
    </row>
    <row r="36" spans="1:15" x14ac:dyDescent="0.3">
      <c r="A36" t="s">
        <v>650</v>
      </c>
      <c r="B36" t="s">
        <v>651</v>
      </c>
      <c r="C36" t="s">
        <v>171</v>
      </c>
      <c r="D36" t="s">
        <v>652</v>
      </c>
      <c r="E36" t="s">
        <v>653</v>
      </c>
      <c r="F36">
        <v>9</v>
      </c>
      <c r="G36">
        <v>1.4</v>
      </c>
      <c r="H36">
        <v>5.5</v>
      </c>
      <c r="I36">
        <v>1.28</v>
      </c>
      <c r="J36" t="s">
        <v>564</v>
      </c>
      <c r="K36">
        <v>2</v>
      </c>
      <c r="L36">
        <v>1</v>
      </c>
      <c r="M36">
        <v>1</v>
      </c>
      <c r="N36">
        <f t="shared" si="2"/>
        <v>0.26180000000000003</v>
      </c>
      <c r="O36">
        <f t="shared" si="3"/>
        <v>3</v>
      </c>
    </row>
    <row r="37" spans="1:15" x14ac:dyDescent="0.3">
      <c r="A37" t="s">
        <v>654</v>
      </c>
      <c r="B37" t="s">
        <v>586</v>
      </c>
      <c r="C37" t="s">
        <v>655</v>
      </c>
      <c r="D37" t="s">
        <v>656</v>
      </c>
      <c r="E37" t="s">
        <v>657</v>
      </c>
      <c r="F37">
        <v>1.49</v>
      </c>
      <c r="G37">
        <v>7.4</v>
      </c>
      <c r="H37">
        <v>4.7</v>
      </c>
      <c r="I37">
        <v>1.32</v>
      </c>
      <c r="J37" t="s">
        <v>564</v>
      </c>
      <c r="K37">
        <v>1</v>
      </c>
      <c r="L37">
        <v>0</v>
      </c>
      <c r="M37">
        <v>1</v>
      </c>
      <c r="N37">
        <f t="shared" si="2"/>
        <v>0.29920000000000008</v>
      </c>
      <c r="O37">
        <f t="shared" si="3"/>
        <v>1</v>
      </c>
    </row>
    <row r="38" spans="1:15" x14ac:dyDescent="0.3">
      <c r="A38" t="s">
        <v>658</v>
      </c>
      <c r="B38" t="s">
        <v>126</v>
      </c>
      <c r="C38" t="s">
        <v>156</v>
      </c>
      <c r="D38" t="s">
        <v>315</v>
      </c>
      <c r="E38" t="s">
        <v>541</v>
      </c>
      <c r="F38">
        <v>4.0999999999999996</v>
      </c>
      <c r="G38">
        <v>1.95</v>
      </c>
      <c r="H38">
        <v>3.6</v>
      </c>
      <c r="I38">
        <v>1.01</v>
      </c>
      <c r="J38" t="s">
        <v>564</v>
      </c>
      <c r="K38">
        <v>1</v>
      </c>
      <c r="L38">
        <v>0</v>
      </c>
      <c r="M38">
        <v>0</v>
      </c>
      <c r="N38">
        <f t="shared" si="2"/>
        <v>-1</v>
      </c>
      <c r="O38">
        <f t="shared" si="3"/>
        <v>1</v>
      </c>
    </row>
    <row r="39" spans="1:15" x14ac:dyDescent="0.3">
      <c r="A39" t="s">
        <v>658</v>
      </c>
      <c r="B39" t="s">
        <v>126</v>
      </c>
      <c r="C39" t="s">
        <v>167</v>
      </c>
      <c r="D39" t="s">
        <v>659</v>
      </c>
      <c r="E39" t="s">
        <v>277</v>
      </c>
      <c r="F39">
        <v>1.52</v>
      </c>
      <c r="G39">
        <v>6.8</v>
      </c>
      <c r="H39">
        <v>4.8</v>
      </c>
      <c r="I39">
        <v>1.29</v>
      </c>
      <c r="J39" t="s">
        <v>564</v>
      </c>
      <c r="K39">
        <v>3</v>
      </c>
      <c r="L39">
        <v>1</v>
      </c>
      <c r="M39">
        <v>1</v>
      </c>
      <c r="N39">
        <f t="shared" si="2"/>
        <v>0.27115000000000006</v>
      </c>
      <c r="O39">
        <f t="shared" si="3"/>
        <v>4</v>
      </c>
    </row>
    <row r="40" spans="1:15" x14ac:dyDescent="0.3">
      <c r="A40" t="s">
        <v>658</v>
      </c>
      <c r="B40" t="s">
        <v>89</v>
      </c>
      <c r="C40" t="s">
        <v>609</v>
      </c>
      <c r="D40" t="s">
        <v>660</v>
      </c>
      <c r="E40" t="s">
        <v>661</v>
      </c>
      <c r="F40">
        <v>1.86</v>
      </c>
      <c r="G40">
        <v>5.2</v>
      </c>
      <c r="H40">
        <v>3.65</v>
      </c>
      <c r="I40">
        <v>1.44</v>
      </c>
      <c r="J40" t="s">
        <v>564</v>
      </c>
      <c r="K40">
        <v>3</v>
      </c>
      <c r="L40">
        <v>3</v>
      </c>
      <c r="M40">
        <v>1</v>
      </c>
      <c r="N40">
        <f t="shared" si="2"/>
        <v>0.41139999999999999</v>
      </c>
      <c r="O40">
        <f t="shared" si="3"/>
        <v>6</v>
      </c>
    </row>
    <row r="41" spans="1:15" x14ac:dyDescent="0.3">
      <c r="A41" t="s">
        <v>658</v>
      </c>
      <c r="B41" t="s">
        <v>84</v>
      </c>
      <c r="C41" t="s">
        <v>130</v>
      </c>
      <c r="D41" t="s">
        <v>662</v>
      </c>
      <c r="E41" t="s">
        <v>663</v>
      </c>
      <c r="F41">
        <v>1.92</v>
      </c>
      <c r="G41">
        <v>4.5</v>
      </c>
      <c r="H41">
        <v>3</v>
      </c>
      <c r="I41">
        <v>1.6</v>
      </c>
      <c r="J41" t="s">
        <v>564</v>
      </c>
      <c r="K41">
        <v>2</v>
      </c>
      <c r="L41">
        <v>1</v>
      </c>
      <c r="M41">
        <v>1</v>
      </c>
      <c r="N41">
        <f t="shared" si="2"/>
        <v>0.56100000000000017</v>
      </c>
      <c r="O41">
        <f t="shared" si="3"/>
        <v>3</v>
      </c>
    </row>
    <row r="42" spans="1:15" x14ac:dyDescent="0.3">
      <c r="A42" t="s">
        <v>658</v>
      </c>
      <c r="B42" t="s">
        <v>94</v>
      </c>
      <c r="C42" t="s">
        <v>664</v>
      </c>
      <c r="D42" t="s">
        <v>665</v>
      </c>
      <c r="E42" t="s">
        <v>666</v>
      </c>
      <c r="F42">
        <v>1.76</v>
      </c>
      <c r="G42">
        <v>5.0999999999999996</v>
      </c>
      <c r="H42">
        <v>3.55</v>
      </c>
      <c r="I42">
        <v>1.46</v>
      </c>
      <c r="J42" t="s">
        <v>564</v>
      </c>
      <c r="K42">
        <v>2</v>
      </c>
      <c r="L42">
        <v>1</v>
      </c>
      <c r="M42">
        <v>1</v>
      </c>
      <c r="N42">
        <f t="shared" si="2"/>
        <v>0.43009999999999998</v>
      </c>
      <c r="O42">
        <f t="shared" si="3"/>
        <v>3</v>
      </c>
    </row>
    <row r="43" spans="1:15" x14ac:dyDescent="0.3">
      <c r="A43" t="s">
        <v>658</v>
      </c>
      <c r="B43" t="s">
        <v>586</v>
      </c>
      <c r="C43" t="s">
        <v>132</v>
      </c>
      <c r="D43" t="s">
        <v>667</v>
      </c>
      <c r="E43" t="s">
        <v>668</v>
      </c>
      <c r="F43">
        <v>6.6</v>
      </c>
      <c r="G43">
        <v>1.61</v>
      </c>
      <c r="H43">
        <v>4.3</v>
      </c>
      <c r="I43">
        <v>1.39</v>
      </c>
      <c r="J43" t="s">
        <v>564</v>
      </c>
      <c r="K43">
        <v>1</v>
      </c>
      <c r="L43">
        <v>1</v>
      </c>
      <c r="M43">
        <v>0</v>
      </c>
      <c r="N43">
        <f t="shared" si="2"/>
        <v>-1</v>
      </c>
      <c r="O43">
        <f t="shared" si="3"/>
        <v>2</v>
      </c>
    </row>
    <row r="44" spans="1:15" x14ac:dyDescent="0.3">
      <c r="A44" t="s">
        <v>669</v>
      </c>
      <c r="B44" t="s">
        <v>114</v>
      </c>
      <c r="C44" t="s">
        <v>619</v>
      </c>
      <c r="D44" t="s">
        <v>670</v>
      </c>
      <c r="E44" t="s">
        <v>671</v>
      </c>
      <c r="F44">
        <v>5.3</v>
      </c>
      <c r="G44">
        <v>1.63</v>
      </c>
      <c r="H44">
        <v>3.45</v>
      </c>
      <c r="I44">
        <v>1.42</v>
      </c>
      <c r="J44" t="s">
        <v>564</v>
      </c>
      <c r="K44">
        <v>1</v>
      </c>
      <c r="L44">
        <v>3</v>
      </c>
      <c r="M44">
        <v>1</v>
      </c>
      <c r="N44">
        <f t="shared" si="2"/>
        <v>0.39269999999999994</v>
      </c>
      <c r="O44">
        <f t="shared" si="3"/>
        <v>4</v>
      </c>
    </row>
    <row r="45" spans="1:15" x14ac:dyDescent="0.3">
      <c r="A45" t="s">
        <v>669</v>
      </c>
      <c r="B45" t="s">
        <v>102</v>
      </c>
      <c r="C45" t="s">
        <v>672</v>
      </c>
      <c r="D45" t="s">
        <v>673</v>
      </c>
      <c r="E45" t="s">
        <v>674</v>
      </c>
      <c r="F45">
        <v>1.69</v>
      </c>
      <c r="G45">
        <v>4.7</v>
      </c>
      <c r="H45">
        <v>3.5</v>
      </c>
      <c r="I45">
        <v>1.43</v>
      </c>
      <c r="J45" t="s">
        <v>564</v>
      </c>
      <c r="K45">
        <v>4</v>
      </c>
      <c r="L45">
        <v>3</v>
      </c>
      <c r="M45">
        <v>1</v>
      </c>
      <c r="N45">
        <f t="shared" si="2"/>
        <v>0.40204999999999996</v>
      </c>
      <c r="O45">
        <f t="shared" si="3"/>
        <v>7</v>
      </c>
    </row>
    <row r="46" spans="1:15" x14ac:dyDescent="0.3">
      <c r="A46" t="s">
        <v>669</v>
      </c>
      <c r="B46" t="s">
        <v>675</v>
      </c>
      <c r="C46" t="s">
        <v>180</v>
      </c>
      <c r="D46" t="s">
        <v>676</v>
      </c>
      <c r="E46" t="s">
        <v>677</v>
      </c>
      <c r="F46">
        <v>1.42</v>
      </c>
      <c r="G46">
        <v>8.1999999999999993</v>
      </c>
      <c r="H46">
        <v>5.0999999999999996</v>
      </c>
      <c r="I46">
        <v>1.3</v>
      </c>
      <c r="J46" t="s">
        <v>564</v>
      </c>
      <c r="K46">
        <v>2</v>
      </c>
      <c r="L46">
        <v>0</v>
      </c>
      <c r="M46">
        <v>0</v>
      </c>
      <c r="N46">
        <f t="shared" si="2"/>
        <v>-1</v>
      </c>
      <c r="O46">
        <f t="shared" si="3"/>
        <v>2</v>
      </c>
    </row>
    <row r="47" spans="1:15" x14ac:dyDescent="0.3">
      <c r="A47" t="s">
        <v>669</v>
      </c>
      <c r="B47" t="s">
        <v>105</v>
      </c>
      <c r="C47" t="s">
        <v>162</v>
      </c>
      <c r="D47" t="s">
        <v>678</v>
      </c>
      <c r="E47" t="s">
        <v>679</v>
      </c>
      <c r="F47">
        <v>1.82</v>
      </c>
      <c r="G47">
        <v>5.4</v>
      </c>
      <c r="H47">
        <v>3.65</v>
      </c>
      <c r="I47">
        <v>1.46</v>
      </c>
      <c r="J47" t="s">
        <v>564</v>
      </c>
      <c r="K47">
        <v>2</v>
      </c>
      <c r="L47">
        <v>0</v>
      </c>
      <c r="M47">
        <v>1</v>
      </c>
      <c r="N47">
        <f t="shared" si="2"/>
        <v>0.43009999999999998</v>
      </c>
      <c r="O47">
        <f t="shared" si="3"/>
        <v>2</v>
      </c>
    </row>
    <row r="48" spans="1:15" x14ac:dyDescent="0.3">
      <c r="A48" t="s">
        <v>680</v>
      </c>
      <c r="B48" t="s">
        <v>681</v>
      </c>
      <c r="C48" t="s">
        <v>136</v>
      </c>
      <c r="D48" t="s">
        <v>234</v>
      </c>
      <c r="E48" t="s">
        <v>682</v>
      </c>
      <c r="F48">
        <v>2.1800000000000002</v>
      </c>
      <c r="G48">
        <v>3.45</v>
      </c>
      <c r="H48">
        <v>3.7</v>
      </c>
      <c r="I48">
        <v>1.46</v>
      </c>
      <c r="J48" t="s">
        <v>564</v>
      </c>
      <c r="K48">
        <v>2</v>
      </c>
      <c r="L48">
        <v>1</v>
      </c>
      <c r="M48">
        <v>1</v>
      </c>
      <c r="N48">
        <f t="shared" si="2"/>
        <v>0.43009999999999998</v>
      </c>
      <c r="O48">
        <f t="shared" si="3"/>
        <v>3</v>
      </c>
    </row>
    <row r="49" spans="1:15" x14ac:dyDescent="0.3">
      <c r="A49" t="s">
        <v>680</v>
      </c>
      <c r="B49" t="s">
        <v>105</v>
      </c>
      <c r="C49" t="s">
        <v>211</v>
      </c>
      <c r="D49" t="s">
        <v>683</v>
      </c>
      <c r="E49" t="s">
        <v>398</v>
      </c>
      <c r="F49">
        <v>5.0999999999999996</v>
      </c>
      <c r="G49">
        <v>2.12</v>
      </c>
      <c r="H49">
        <v>2.92</v>
      </c>
      <c r="I49">
        <v>1.68</v>
      </c>
      <c r="J49" t="s">
        <v>564</v>
      </c>
      <c r="K49">
        <v>1</v>
      </c>
      <c r="L49">
        <v>3</v>
      </c>
      <c r="M49">
        <v>1</v>
      </c>
      <c r="N49">
        <f t="shared" si="2"/>
        <v>0.63580000000000003</v>
      </c>
      <c r="O49">
        <f t="shared" si="3"/>
        <v>4</v>
      </c>
    </row>
    <row r="50" spans="1:15" x14ac:dyDescent="0.3">
      <c r="A50" t="s">
        <v>684</v>
      </c>
      <c r="B50" t="s">
        <v>81</v>
      </c>
      <c r="C50" t="s">
        <v>141</v>
      </c>
      <c r="D50" t="s">
        <v>685</v>
      </c>
      <c r="E50" t="s">
        <v>686</v>
      </c>
      <c r="F50">
        <v>1.8</v>
      </c>
      <c r="G50">
        <v>5.2</v>
      </c>
      <c r="H50">
        <v>3.75</v>
      </c>
      <c r="I50">
        <v>1.45</v>
      </c>
      <c r="J50" t="s">
        <v>564</v>
      </c>
      <c r="K50">
        <v>3</v>
      </c>
      <c r="L50">
        <v>0</v>
      </c>
      <c r="M50">
        <v>1</v>
      </c>
      <c r="N50">
        <f t="shared" si="2"/>
        <v>0.42074999999999996</v>
      </c>
      <c r="O50">
        <f t="shared" si="3"/>
        <v>3</v>
      </c>
    </row>
    <row r="51" spans="1:15" x14ac:dyDescent="0.3">
      <c r="A51" t="s">
        <v>684</v>
      </c>
      <c r="B51" t="s">
        <v>687</v>
      </c>
      <c r="C51" t="s">
        <v>688</v>
      </c>
      <c r="D51" t="s">
        <v>689</v>
      </c>
      <c r="E51" t="s">
        <v>690</v>
      </c>
      <c r="F51">
        <v>2.06</v>
      </c>
      <c r="G51">
        <v>4.0999999999999996</v>
      </c>
      <c r="H51">
        <v>2.66</v>
      </c>
      <c r="I51">
        <v>1.69</v>
      </c>
      <c r="J51" t="s">
        <v>564</v>
      </c>
      <c r="K51">
        <v>2</v>
      </c>
      <c r="L51">
        <v>2</v>
      </c>
      <c r="M51">
        <v>0</v>
      </c>
      <c r="N51">
        <f t="shared" si="2"/>
        <v>-1</v>
      </c>
      <c r="O51">
        <f t="shared" si="3"/>
        <v>4</v>
      </c>
    </row>
    <row r="52" spans="1:15" x14ac:dyDescent="0.3">
      <c r="A52" t="s">
        <v>57</v>
      </c>
      <c r="B52" t="s">
        <v>80</v>
      </c>
      <c r="C52" t="s">
        <v>202</v>
      </c>
      <c r="D52" t="s">
        <v>343</v>
      </c>
      <c r="E52" t="s">
        <v>510</v>
      </c>
      <c r="F52">
        <v>5.2</v>
      </c>
      <c r="G52">
        <v>1.76</v>
      </c>
      <c r="H52">
        <v>3.3</v>
      </c>
      <c r="I52">
        <v>1.51</v>
      </c>
      <c r="J52" t="s">
        <v>564</v>
      </c>
      <c r="K52">
        <v>1</v>
      </c>
      <c r="L52">
        <v>1</v>
      </c>
      <c r="M52">
        <v>1</v>
      </c>
      <c r="N52">
        <f t="shared" si="2"/>
        <v>0.47685000000000005</v>
      </c>
      <c r="O52">
        <f t="shared" si="3"/>
        <v>2</v>
      </c>
    </row>
    <row r="53" spans="1:15" x14ac:dyDescent="0.3">
      <c r="A53" t="s">
        <v>57</v>
      </c>
      <c r="B53" t="s">
        <v>80</v>
      </c>
      <c r="C53" t="s">
        <v>203</v>
      </c>
      <c r="D53" t="s">
        <v>344</v>
      </c>
      <c r="E53" t="s">
        <v>511</v>
      </c>
      <c r="F53">
        <v>1.33</v>
      </c>
      <c r="G53">
        <v>9.1999999999999993</v>
      </c>
      <c r="H53">
        <v>5.8</v>
      </c>
      <c r="I53">
        <v>1.26</v>
      </c>
      <c r="J53" t="s">
        <v>564</v>
      </c>
      <c r="K53">
        <v>3</v>
      </c>
      <c r="L53">
        <v>0</v>
      </c>
      <c r="M53">
        <v>1</v>
      </c>
      <c r="N53">
        <f t="shared" si="2"/>
        <v>0.24310000000000001</v>
      </c>
      <c r="O53">
        <f t="shared" si="3"/>
        <v>3</v>
      </c>
    </row>
    <row r="54" spans="1:15" x14ac:dyDescent="0.3">
      <c r="A54" t="s">
        <v>57</v>
      </c>
      <c r="B54" t="s">
        <v>80</v>
      </c>
      <c r="C54" t="s">
        <v>139</v>
      </c>
      <c r="D54" t="s">
        <v>345</v>
      </c>
      <c r="E54" t="s">
        <v>512</v>
      </c>
      <c r="F54">
        <v>1.88</v>
      </c>
      <c r="G54">
        <v>4.8</v>
      </c>
      <c r="H54">
        <v>3.4</v>
      </c>
      <c r="I54">
        <v>1.47</v>
      </c>
      <c r="J54" t="s">
        <v>564</v>
      </c>
      <c r="K54">
        <v>1</v>
      </c>
      <c r="L54">
        <v>1</v>
      </c>
      <c r="M54">
        <v>1</v>
      </c>
      <c r="N54">
        <f t="shared" si="2"/>
        <v>0.43945000000000001</v>
      </c>
      <c r="O54">
        <f t="shared" si="3"/>
        <v>2</v>
      </c>
    </row>
    <row r="55" spans="1:15" x14ac:dyDescent="0.3">
      <c r="A55" t="s">
        <v>57</v>
      </c>
      <c r="B55" t="s">
        <v>80</v>
      </c>
      <c r="C55" t="s">
        <v>142</v>
      </c>
      <c r="D55" t="s">
        <v>346</v>
      </c>
      <c r="E55" t="s">
        <v>333</v>
      </c>
      <c r="F55">
        <v>1.56</v>
      </c>
      <c r="G55">
        <v>6.8</v>
      </c>
      <c r="H55">
        <v>4.7</v>
      </c>
      <c r="I55">
        <v>1.32</v>
      </c>
      <c r="J55" t="s">
        <v>564</v>
      </c>
      <c r="K55">
        <v>3</v>
      </c>
      <c r="L55">
        <v>2</v>
      </c>
      <c r="M55">
        <v>1</v>
      </c>
      <c r="N55">
        <f t="shared" si="2"/>
        <v>0.29920000000000008</v>
      </c>
      <c r="O55">
        <f t="shared" si="3"/>
        <v>5</v>
      </c>
    </row>
    <row r="56" spans="1:15" x14ac:dyDescent="0.3">
      <c r="A56" t="s">
        <v>57</v>
      </c>
      <c r="B56" t="s">
        <v>117</v>
      </c>
      <c r="C56" t="s">
        <v>204</v>
      </c>
      <c r="D56" t="s">
        <v>347</v>
      </c>
      <c r="E56" t="s">
        <v>513</v>
      </c>
      <c r="F56">
        <v>1.57</v>
      </c>
      <c r="G56">
        <v>6.2</v>
      </c>
      <c r="H56">
        <v>4</v>
      </c>
      <c r="I56">
        <v>1.39</v>
      </c>
      <c r="J56" t="s">
        <v>564</v>
      </c>
      <c r="K56">
        <v>1</v>
      </c>
      <c r="L56">
        <v>1</v>
      </c>
      <c r="M56">
        <v>1</v>
      </c>
      <c r="N56">
        <f t="shared" si="2"/>
        <v>0.36464999999999992</v>
      </c>
      <c r="O56">
        <f t="shared" si="3"/>
        <v>2</v>
      </c>
    </row>
    <row r="57" spans="1:15" x14ac:dyDescent="0.3">
      <c r="A57" t="s">
        <v>57</v>
      </c>
      <c r="B57" t="s">
        <v>82</v>
      </c>
      <c r="C57" t="s">
        <v>135</v>
      </c>
      <c r="D57" t="s">
        <v>348</v>
      </c>
      <c r="E57" t="s">
        <v>514</v>
      </c>
      <c r="F57">
        <v>1.9</v>
      </c>
      <c r="G57">
        <v>4.8</v>
      </c>
      <c r="H57">
        <v>3.6</v>
      </c>
      <c r="I57">
        <v>1.48</v>
      </c>
      <c r="J57" t="s">
        <v>564</v>
      </c>
      <c r="K57">
        <v>3</v>
      </c>
      <c r="L57">
        <v>1</v>
      </c>
      <c r="M57">
        <v>1</v>
      </c>
      <c r="N57">
        <f t="shared" si="2"/>
        <v>0.44880000000000003</v>
      </c>
      <c r="O57">
        <f t="shared" si="3"/>
        <v>4</v>
      </c>
    </row>
    <row r="58" spans="1:15" x14ac:dyDescent="0.3">
      <c r="A58" t="s">
        <v>58</v>
      </c>
      <c r="B58" t="s">
        <v>118</v>
      </c>
      <c r="C58" t="s">
        <v>205</v>
      </c>
      <c r="D58" t="s">
        <v>349</v>
      </c>
      <c r="E58" t="s">
        <v>515</v>
      </c>
      <c r="F58">
        <v>1.55</v>
      </c>
      <c r="G58">
        <v>6.6</v>
      </c>
      <c r="H58">
        <v>4.3</v>
      </c>
      <c r="I58">
        <v>1.37</v>
      </c>
      <c r="J58" t="s">
        <v>564</v>
      </c>
      <c r="K58">
        <v>2</v>
      </c>
      <c r="L58">
        <v>0</v>
      </c>
      <c r="M58">
        <v>0</v>
      </c>
      <c r="N58">
        <f t="shared" si="2"/>
        <v>-1</v>
      </c>
      <c r="O58">
        <f t="shared" si="3"/>
        <v>2</v>
      </c>
    </row>
    <row r="59" spans="1:15" x14ac:dyDescent="0.3">
      <c r="A59" t="s">
        <v>58</v>
      </c>
      <c r="B59" t="s">
        <v>86</v>
      </c>
      <c r="C59" t="s">
        <v>193</v>
      </c>
      <c r="D59" t="s">
        <v>350</v>
      </c>
      <c r="E59" t="s">
        <v>437</v>
      </c>
      <c r="F59">
        <v>4.5</v>
      </c>
      <c r="G59">
        <v>2.06</v>
      </c>
      <c r="H59">
        <v>3.25</v>
      </c>
      <c r="I59">
        <v>1.57</v>
      </c>
      <c r="J59" t="s">
        <v>564</v>
      </c>
      <c r="K59">
        <v>2</v>
      </c>
      <c r="L59">
        <v>2</v>
      </c>
      <c r="M59">
        <v>1</v>
      </c>
      <c r="N59">
        <f t="shared" si="2"/>
        <v>0.53295000000000003</v>
      </c>
      <c r="O59">
        <f t="shared" si="3"/>
        <v>4</v>
      </c>
    </row>
    <row r="60" spans="1:15" x14ac:dyDescent="0.3">
      <c r="A60" t="s">
        <v>59</v>
      </c>
      <c r="B60" t="s">
        <v>117</v>
      </c>
      <c r="C60" t="s">
        <v>206</v>
      </c>
      <c r="D60" t="s">
        <v>351</v>
      </c>
      <c r="E60" t="s">
        <v>516</v>
      </c>
      <c r="F60">
        <v>1.67</v>
      </c>
      <c r="G60">
        <v>6.4</v>
      </c>
      <c r="H60">
        <v>4</v>
      </c>
      <c r="I60">
        <v>1.42</v>
      </c>
      <c r="J60" t="s">
        <v>564</v>
      </c>
      <c r="K60">
        <v>0</v>
      </c>
      <c r="L60">
        <v>0</v>
      </c>
      <c r="M60">
        <v>0</v>
      </c>
      <c r="N60">
        <f t="shared" si="2"/>
        <v>-1</v>
      </c>
      <c r="O60">
        <f t="shared" si="3"/>
        <v>0</v>
      </c>
    </row>
    <row r="61" spans="1:15" x14ac:dyDescent="0.3">
      <c r="A61" t="s">
        <v>59</v>
      </c>
      <c r="B61" t="s">
        <v>105</v>
      </c>
      <c r="C61" t="s">
        <v>207</v>
      </c>
      <c r="D61" t="s">
        <v>352</v>
      </c>
      <c r="E61" t="s">
        <v>517</v>
      </c>
      <c r="F61">
        <v>1.91</v>
      </c>
      <c r="G61">
        <v>5</v>
      </c>
      <c r="H61">
        <v>3.1</v>
      </c>
      <c r="I61">
        <v>1.59</v>
      </c>
      <c r="J61" t="s">
        <v>564</v>
      </c>
      <c r="K61">
        <v>1</v>
      </c>
      <c r="L61">
        <v>0</v>
      </c>
      <c r="M61">
        <v>0</v>
      </c>
      <c r="N61">
        <f t="shared" si="2"/>
        <v>-1</v>
      </c>
      <c r="O61">
        <f t="shared" si="3"/>
        <v>1</v>
      </c>
    </row>
    <row r="62" spans="1:15" x14ac:dyDescent="0.3">
      <c r="A62" t="s">
        <v>59</v>
      </c>
      <c r="B62" t="s">
        <v>82</v>
      </c>
      <c r="C62" t="s">
        <v>206</v>
      </c>
      <c r="D62" t="s">
        <v>353</v>
      </c>
      <c r="E62" t="s">
        <v>518</v>
      </c>
      <c r="F62">
        <v>1.6</v>
      </c>
      <c r="G62">
        <v>6.2</v>
      </c>
      <c r="H62">
        <v>4.3</v>
      </c>
      <c r="I62">
        <v>1.38</v>
      </c>
      <c r="J62" t="s">
        <v>564</v>
      </c>
      <c r="K62">
        <v>3</v>
      </c>
      <c r="L62">
        <v>2</v>
      </c>
      <c r="M62">
        <v>1</v>
      </c>
      <c r="N62">
        <f t="shared" si="2"/>
        <v>0.35529999999999989</v>
      </c>
      <c r="O62">
        <f t="shared" si="3"/>
        <v>5</v>
      </c>
    </row>
    <row r="63" spans="1:15" x14ac:dyDescent="0.3">
      <c r="A63" t="s">
        <v>59</v>
      </c>
      <c r="B63" t="s">
        <v>82</v>
      </c>
      <c r="C63" t="s">
        <v>206</v>
      </c>
      <c r="D63" t="s">
        <v>354</v>
      </c>
      <c r="E63" t="s">
        <v>519</v>
      </c>
      <c r="F63">
        <v>1.73</v>
      </c>
      <c r="G63">
        <v>5.6</v>
      </c>
      <c r="H63">
        <v>4</v>
      </c>
      <c r="I63">
        <v>1.44</v>
      </c>
      <c r="J63" t="s">
        <v>564</v>
      </c>
      <c r="K63">
        <v>0</v>
      </c>
      <c r="L63">
        <v>1</v>
      </c>
      <c r="M63">
        <v>0</v>
      </c>
      <c r="N63">
        <f t="shared" si="2"/>
        <v>-1</v>
      </c>
      <c r="O63">
        <f t="shared" si="3"/>
        <v>1</v>
      </c>
    </row>
    <row r="64" spans="1:15" x14ac:dyDescent="0.3">
      <c r="A64" t="s">
        <v>60</v>
      </c>
      <c r="B64" t="s">
        <v>119</v>
      </c>
      <c r="C64" t="s">
        <v>166</v>
      </c>
      <c r="D64" t="s">
        <v>355</v>
      </c>
      <c r="E64" t="s">
        <v>520</v>
      </c>
      <c r="F64">
        <v>1.75</v>
      </c>
      <c r="G64">
        <v>5.3</v>
      </c>
      <c r="H64">
        <v>3.75</v>
      </c>
      <c r="I64">
        <v>1.47</v>
      </c>
      <c r="J64" t="s">
        <v>564</v>
      </c>
      <c r="K64">
        <v>2</v>
      </c>
      <c r="L64">
        <v>0</v>
      </c>
      <c r="M64">
        <v>0</v>
      </c>
      <c r="N64">
        <f t="shared" si="2"/>
        <v>-1</v>
      </c>
      <c r="O64">
        <f t="shared" si="3"/>
        <v>2</v>
      </c>
    </row>
    <row r="65" spans="1:15" x14ac:dyDescent="0.3">
      <c r="A65" t="s">
        <v>60</v>
      </c>
      <c r="B65" t="s">
        <v>108</v>
      </c>
      <c r="C65" t="s">
        <v>185</v>
      </c>
      <c r="D65" t="s">
        <v>356</v>
      </c>
      <c r="E65" t="s">
        <v>521</v>
      </c>
      <c r="F65">
        <v>1.84</v>
      </c>
      <c r="G65">
        <v>4.9000000000000004</v>
      </c>
      <c r="H65">
        <v>3.45</v>
      </c>
      <c r="I65">
        <v>1.51</v>
      </c>
      <c r="J65" t="s">
        <v>564</v>
      </c>
      <c r="K65">
        <v>0</v>
      </c>
      <c r="L65">
        <v>0</v>
      </c>
      <c r="M65">
        <v>0</v>
      </c>
      <c r="N65">
        <f t="shared" si="2"/>
        <v>-1</v>
      </c>
      <c r="O65">
        <f t="shared" si="3"/>
        <v>0</v>
      </c>
    </row>
    <row r="66" spans="1:15" x14ac:dyDescent="0.3">
      <c r="A66" t="s">
        <v>60</v>
      </c>
      <c r="B66" t="s">
        <v>81</v>
      </c>
      <c r="C66" t="s">
        <v>141</v>
      </c>
      <c r="D66" t="s">
        <v>357</v>
      </c>
      <c r="E66" t="s">
        <v>522</v>
      </c>
      <c r="F66">
        <v>2</v>
      </c>
      <c r="G66">
        <v>4.9000000000000004</v>
      </c>
      <c r="H66">
        <v>3.15</v>
      </c>
      <c r="I66">
        <v>1.56</v>
      </c>
      <c r="J66" t="s">
        <v>564</v>
      </c>
      <c r="K66">
        <v>1</v>
      </c>
      <c r="L66">
        <v>1</v>
      </c>
      <c r="M66">
        <v>1</v>
      </c>
      <c r="N66">
        <f t="shared" si="2"/>
        <v>0.52360000000000007</v>
      </c>
      <c r="O66">
        <f t="shared" si="3"/>
        <v>2</v>
      </c>
    </row>
    <row r="67" spans="1:15" x14ac:dyDescent="0.3">
      <c r="A67" t="s">
        <v>60</v>
      </c>
      <c r="B67" t="s">
        <v>92</v>
      </c>
      <c r="C67" t="s">
        <v>208</v>
      </c>
      <c r="D67" t="s">
        <v>358</v>
      </c>
      <c r="E67" t="s">
        <v>523</v>
      </c>
      <c r="F67">
        <v>1.84</v>
      </c>
      <c r="G67">
        <v>4.8</v>
      </c>
      <c r="H67">
        <v>3.55</v>
      </c>
      <c r="I67">
        <v>1.48</v>
      </c>
      <c r="J67" t="s">
        <v>564</v>
      </c>
      <c r="K67">
        <v>0</v>
      </c>
      <c r="L67">
        <v>1</v>
      </c>
      <c r="M67">
        <v>1</v>
      </c>
      <c r="N67">
        <f t="shared" si="2"/>
        <v>0.44880000000000003</v>
      </c>
      <c r="O67">
        <f t="shared" si="3"/>
        <v>1</v>
      </c>
    </row>
    <row r="68" spans="1:15" x14ac:dyDescent="0.3">
      <c r="A68" t="s">
        <v>61</v>
      </c>
      <c r="B68" t="s">
        <v>110</v>
      </c>
      <c r="C68" t="s">
        <v>209</v>
      </c>
      <c r="D68" t="s">
        <v>359</v>
      </c>
      <c r="E68" t="s">
        <v>524</v>
      </c>
      <c r="F68">
        <v>4.8</v>
      </c>
      <c r="G68">
        <v>1.88</v>
      </c>
      <c r="H68">
        <v>3.4</v>
      </c>
      <c r="I68">
        <v>1.55</v>
      </c>
      <c r="J68" t="s">
        <v>564</v>
      </c>
      <c r="K68">
        <v>1</v>
      </c>
      <c r="L68">
        <v>1</v>
      </c>
      <c r="M68">
        <v>0</v>
      </c>
      <c r="N68">
        <f t="shared" ref="N68:N131" si="4">IF(M68=1,0.935*(I68-1),-1)</f>
        <v>-1</v>
      </c>
      <c r="O68">
        <f t="shared" ref="O68:O131" si="5">K68+L68</f>
        <v>2</v>
      </c>
    </row>
    <row r="69" spans="1:15" x14ac:dyDescent="0.3">
      <c r="A69" t="s">
        <v>61</v>
      </c>
      <c r="B69" t="s">
        <v>110</v>
      </c>
      <c r="C69" t="s">
        <v>209</v>
      </c>
      <c r="D69" t="s">
        <v>360</v>
      </c>
      <c r="E69" t="s">
        <v>525</v>
      </c>
      <c r="F69">
        <v>1.46</v>
      </c>
      <c r="G69">
        <v>7</v>
      </c>
      <c r="H69">
        <v>4.5999999999999996</v>
      </c>
      <c r="I69">
        <v>1.35</v>
      </c>
      <c r="J69" t="s">
        <v>564</v>
      </c>
      <c r="K69">
        <v>3</v>
      </c>
      <c r="L69">
        <v>1</v>
      </c>
      <c r="M69">
        <v>1</v>
      </c>
      <c r="N69">
        <f t="shared" si="4"/>
        <v>0.3272500000000001</v>
      </c>
      <c r="O69">
        <f t="shared" si="5"/>
        <v>4</v>
      </c>
    </row>
    <row r="70" spans="1:15" x14ac:dyDescent="0.3">
      <c r="A70" t="s">
        <v>61</v>
      </c>
      <c r="B70" t="s">
        <v>78</v>
      </c>
      <c r="C70" t="s">
        <v>130</v>
      </c>
      <c r="D70" t="s">
        <v>361</v>
      </c>
      <c r="E70" t="s">
        <v>526</v>
      </c>
      <c r="F70">
        <v>2.04</v>
      </c>
      <c r="G70">
        <v>4.5999999999999996</v>
      </c>
      <c r="H70">
        <v>2.9</v>
      </c>
      <c r="I70">
        <v>1.67</v>
      </c>
      <c r="J70" t="s">
        <v>564</v>
      </c>
      <c r="K70">
        <v>1</v>
      </c>
      <c r="L70">
        <v>0</v>
      </c>
      <c r="M70">
        <v>1</v>
      </c>
      <c r="N70">
        <f t="shared" si="4"/>
        <v>0.62644999999999995</v>
      </c>
      <c r="O70">
        <f t="shared" si="5"/>
        <v>1</v>
      </c>
    </row>
    <row r="71" spans="1:15" x14ac:dyDescent="0.3">
      <c r="A71" t="s">
        <v>61</v>
      </c>
      <c r="B71" t="s">
        <v>84</v>
      </c>
      <c r="C71" t="s">
        <v>210</v>
      </c>
      <c r="D71" t="s">
        <v>362</v>
      </c>
      <c r="E71" t="s">
        <v>527</v>
      </c>
      <c r="F71">
        <v>1.79</v>
      </c>
      <c r="G71">
        <v>5.3</v>
      </c>
      <c r="H71">
        <v>3.75</v>
      </c>
      <c r="I71">
        <v>1.45</v>
      </c>
      <c r="J71" t="s">
        <v>564</v>
      </c>
      <c r="K71">
        <v>2</v>
      </c>
      <c r="L71">
        <v>1</v>
      </c>
      <c r="M71">
        <v>1</v>
      </c>
      <c r="N71">
        <f t="shared" si="4"/>
        <v>0.42074999999999996</v>
      </c>
      <c r="O71">
        <f t="shared" si="5"/>
        <v>3</v>
      </c>
    </row>
    <row r="72" spans="1:15" x14ac:dyDescent="0.3">
      <c r="A72" t="s">
        <v>61</v>
      </c>
      <c r="B72" t="s">
        <v>74</v>
      </c>
      <c r="C72" t="s">
        <v>135</v>
      </c>
      <c r="D72" t="s">
        <v>233</v>
      </c>
      <c r="E72" t="s">
        <v>528</v>
      </c>
      <c r="F72">
        <v>1.7</v>
      </c>
      <c r="G72">
        <v>5.8</v>
      </c>
      <c r="H72">
        <v>3.95</v>
      </c>
      <c r="I72">
        <v>1.45</v>
      </c>
      <c r="J72" t="s">
        <v>564</v>
      </c>
      <c r="K72">
        <v>3</v>
      </c>
      <c r="L72">
        <v>0</v>
      </c>
      <c r="M72">
        <v>1</v>
      </c>
      <c r="N72">
        <f t="shared" si="4"/>
        <v>0.42074999999999996</v>
      </c>
      <c r="O72">
        <f t="shared" si="5"/>
        <v>3</v>
      </c>
    </row>
    <row r="73" spans="1:15" x14ac:dyDescent="0.3">
      <c r="A73" t="s">
        <v>61</v>
      </c>
      <c r="B73" t="s">
        <v>94</v>
      </c>
      <c r="C73" t="s">
        <v>163</v>
      </c>
      <c r="D73" t="s">
        <v>363</v>
      </c>
      <c r="E73" t="s">
        <v>529</v>
      </c>
      <c r="F73">
        <v>1.9</v>
      </c>
      <c r="G73">
        <v>5.2</v>
      </c>
      <c r="H73">
        <v>3.5</v>
      </c>
      <c r="I73">
        <v>1.5</v>
      </c>
      <c r="J73" t="s">
        <v>564</v>
      </c>
      <c r="K73">
        <v>1</v>
      </c>
      <c r="L73">
        <v>1</v>
      </c>
      <c r="M73">
        <v>1</v>
      </c>
      <c r="N73">
        <f t="shared" si="4"/>
        <v>0.46750000000000003</v>
      </c>
      <c r="O73">
        <f t="shared" si="5"/>
        <v>2</v>
      </c>
    </row>
    <row r="74" spans="1:15" x14ac:dyDescent="0.3">
      <c r="A74" t="s">
        <v>61</v>
      </c>
      <c r="B74" t="s">
        <v>82</v>
      </c>
      <c r="C74" t="s">
        <v>211</v>
      </c>
      <c r="D74" t="s">
        <v>364</v>
      </c>
      <c r="E74" t="s">
        <v>530</v>
      </c>
      <c r="F74">
        <v>1.95</v>
      </c>
      <c r="G74">
        <v>5.0999999999999996</v>
      </c>
      <c r="H74">
        <v>3.3</v>
      </c>
      <c r="I74">
        <v>1.54</v>
      </c>
      <c r="J74" t="s">
        <v>564</v>
      </c>
      <c r="K74">
        <v>1</v>
      </c>
      <c r="L74">
        <v>0</v>
      </c>
      <c r="M74">
        <v>1</v>
      </c>
      <c r="N74">
        <f t="shared" si="4"/>
        <v>0.50490000000000002</v>
      </c>
      <c r="O74">
        <f t="shared" si="5"/>
        <v>1</v>
      </c>
    </row>
    <row r="75" spans="1:15" x14ac:dyDescent="0.3">
      <c r="A75" t="s">
        <v>62</v>
      </c>
      <c r="B75" t="s">
        <v>109</v>
      </c>
      <c r="C75" t="s">
        <v>188</v>
      </c>
      <c r="D75" t="s">
        <v>365</v>
      </c>
      <c r="E75" t="s">
        <v>531</v>
      </c>
      <c r="F75">
        <v>1.78</v>
      </c>
      <c r="G75">
        <v>5.2</v>
      </c>
      <c r="H75">
        <v>3.85</v>
      </c>
      <c r="I75">
        <v>1.46</v>
      </c>
      <c r="J75" t="s">
        <v>564</v>
      </c>
      <c r="K75">
        <v>3</v>
      </c>
      <c r="L75">
        <v>0</v>
      </c>
      <c r="M75">
        <v>1</v>
      </c>
      <c r="N75">
        <f t="shared" si="4"/>
        <v>0.43009999999999998</v>
      </c>
      <c r="O75">
        <f t="shared" si="5"/>
        <v>3</v>
      </c>
    </row>
    <row r="76" spans="1:15" x14ac:dyDescent="0.3">
      <c r="A76" t="s">
        <v>62</v>
      </c>
      <c r="B76" t="s">
        <v>120</v>
      </c>
      <c r="C76" t="s">
        <v>181</v>
      </c>
      <c r="D76" t="s">
        <v>366</v>
      </c>
      <c r="E76" t="s">
        <v>532</v>
      </c>
      <c r="F76">
        <v>1.68</v>
      </c>
      <c r="G76">
        <v>5.9</v>
      </c>
      <c r="H76">
        <v>3.75</v>
      </c>
      <c r="I76">
        <v>1.45</v>
      </c>
      <c r="J76" t="s">
        <v>564</v>
      </c>
      <c r="K76">
        <v>2</v>
      </c>
      <c r="L76">
        <v>1</v>
      </c>
      <c r="M76">
        <v>0</v>
      </c>
      <c r="N76">
        <f t="shared" si="4"/>
        <v>-1</v>
      </c>
      <c r="O76">
        <f t="shared" si="5"/>
        <v>3</v>
      </c>
    </row>
    <row r="77" spans="1:15" x14ac:dyDescent="0.3">
      <c r="A77" t="s">
        <v>62</v>
      </c>
      <c r="B77" t="s">
        <v>79</v>
      </c>
      <c r="C77" t="s">
        <v>212</v>
      </c>
      <c r="D77" t="s">
        <v>367</v>
      </c>
      <c r="E77" t="s">
        <v>533</v>
      </c>
      <c r="F77">
        <v>5.6</v>
      </c>
      <c r="G77">
        <v>1.78</v>
      </c>
      <c r="H77">
        <v>3.4</v>
      </c>
      <c r="I77">
        <v>1.51</v>
      </c>
      <c r="J77" t="s">
        <v>564</v>
      </c>
      <c r="K77">
        <v>0</v>
      </c>
      <c r="L77">
        <v>3</v>
      </c>
      <c r="M77">
        <v>1</v>
      </c>
      <c r="N77">
        <f t="shared" si="4"/>
        <v>0.47685000000000005</v>
      </c>
      <c r="O77">
        <f t="shared" si="5"/>
        <v>3</v>
      </c>
    </row>
    <row r="78" spans="1:15" x14ac:dyDescent="0.3">
      <c r="A78" t="s">
        <v>62</v>
      </c>
      <c r="B78" t="s">
        <v>113</v>
      </c>
      <c r="C78" t="s">
        <v>197</v>
      </c>
      <c r="D78" t="s">
        <v>368</v>
      </c>
      <c r="E78" t="s">
        <v>534</v>
      </c>
      <c r="F78">
        <v>1.41</v>
      </c>
      <c r="G78">
        <v>7.8</v>
      </c>
      <c r="H78">
        <v>5.3</v>
      </c>
      <c r="I78">
        <v>1.28</v>
      </c>
      <c r="J78" t="s">
        <v>564</v>
      </c>
      <c r="K78">
        <v>1</v>
      </c>
      <c r="L78">
        <v>2</v>
      </c>
      <c r="M78">
        <v>1</v>
      </c>
      <c r="N78">
        <f t="shared" si="4"/>
        <v>0.26180000000000003</v>
      </c>
      <c r="O78">
        <f t="shared" si="5"/>
        <v>3</v>
      </c>
    </row>
    <row r="79" spans="1:15" x14ac:dyDescent="0.3">
      <c r="A79" t="s">
        <v>62</v>
      </c>
      <c r="B79" t="s">
        <v>105</v>
      </c>
      <c r="C79" t="s">
        <v>193</v>
      </c>
      <c r="D79" t="s">
        <v>369</v>
      </c>
      <c r="E79" t="s">
        <v>535</v>
      </c>
      <c r="F79">
        <v>1.96</v>
      </c>
      <c r="G79">
        <v>4.8</v>
      </c>
      <c r="H79">
        <v>3.45</v>
      </c>
      <c r="I79">
        <v>1.51</v>
      </c>
      <c r="J79" t="s">
        <v>564</v>
      </c>
      <c r="K79">
        <v>0</v>
      </c>
      <c r="L79">
        <v>0</v>
      </c>
      <c r="M79">
        <v>0</v>
      </c>
      <c r="N79">
        <f t="shared" si="4"/>
        <v>-1</v>
      </c>
      <c r="O79">
        <f t="shared" si="5"/>
        <v>0</v>
      </c>
    </row>
    <row r="80" spans="1:15" x14ac:dyDescent="0.3">
      <c r="A80" t="s">
        <v>63</v>
      </c>
      <c r="B80" t="s">
        <v>121</v>
      </c>
      <c r="C80" t="s">
        <v>174</v>
      </c>
      <c r="D80" t="s">
        <v>370</v>
      </c>
      <c r="E80" t="s">
        <v>302</v>
      </c>
      <c r="F80">
        <v>4.9000000000000004</v>
      </c>
      <c r="G80">
        <v>1.84</v>
      </c>
      <c r="H80">
        <v>3.65</v>
      </c>
      <c r="I80">
        <v>1.44</v>
      </c>
      <c r="J80" t="s">
        <v>564</v>
      </c>
      <c r="K80">
        <v>1</v>
      </c>
      <c r="L80">
        <v>2</v>
      </c>
      <c r="M80">
        <v>1</v>
      </c>
      <c r="N80">
        <f t="shared" si="4"/>
        <v>0.41139999999999999</v>
      </c>
      <c r="O80">
        <f t="shared" si="5"/>
        <v>3</v>
      </c>
    </row>
    <row r="81" spans="1:15" x14ac:dyDescent="0.3">
      <c r="A81" t="s">
        <v>64</v>
      </c>
      <c r="B81" t="s">
        <v>122</v>
      </c>
      <c r="C81" t="s">
        <v>174</v>
      </c>
      <c r="D81" t="s">
        <v>371</v>
      </c>
      <c r="E81" t="s">
        <v>536</v>
      </c>
      <c r="F81">
        <v>1.79</v>
      </c>
      <c r="G81">
        <v>5.2</v>
      </c>
      <c r="H81">
        <v>3.65</v>
      </c>
      <c r="I81">
        <v>1.43</v>
      </c>
      <c r="J81" t="s">
        <v>564</v>
      </c>
      <c r="K81">
        <v>3</v>
      </c>
      <c r="L81">
        <v>0</v>
      </c>
      <c r="M81">
        <v>1</v>
      </c>
      <c r="N81">
        <f t="shared" si="4"/>
        <v>0.40204999999999996</v>
      </c>
      <c r="O81">
        <f t="shared" si="5"/>
        <v>3</v>
      </c>
    </row>
    <row r="82" spans="1:15" x14ac:dyDescent="0.3">
      <c r="A82" t="s">
        <v>65</v>
      </c>
      <c r="B82" t="s">
        <v>100</v>
      </c>
      <c r="C82" t="s">
        <v>193</v>
      </c>
      <c r="D82" t="s">
        <v>372</v>
      </c>
      <c r="E82" t="s">
        <v>537</v>
      </c>
      <c r="F82">
        <v>1.56</v>
      </c>
      <c r="G82">
        <v>6.6</v>
      </c>
      <c r="H82">
        <v>4.7</v>
      </c>
      <c r="I82">
        <v>1.36</v>
      </c>
      <c r="J82" t="s">
        <v>564</v>
      </c>
      <c r="K82">
        <v>2</v>
      </c>
      <c r="L82">
        <v>3</v>
      </c>
      <c r="M82">
        <v>1</v>
      </c>
      <c r="N82">
        <f t="shared" si="4"/>
        <v>0.33660000000000012</v>
      </c>
      <c r="O82">
        <f t="shared" si="5"/>
        <v>5</v>
      </c>
    </row>
    <row r="83" spans="1:15" x14ac:dyDescent="0.3">
      <c r="A83" t="s">
        <v>66</v>
      </c>
      <c r="B83" t="s">
        <v>81</v>
      </c>
      <c r="C83" t="s">
        <v>135</v>
      </c>
      <c r="D83" t="s">
        <v>373</v>
      </c>
      <c r="E83" t="s">
        <v>538</v>
      </c>
      <c r="F83">
        <v>1.8</v>
      </c>
      <c r="G83">
        <v>5.4</v>
      </c>
      <c r="H83">
        <v>3.7</v>
      </c>
      <c r="I83">
        <v>1.47</v>
      </c>
      <c r="J83" t="s">
        <v>564</v>
      </c>
      <c r="K83">
        <v>2</v>
      </c>
      <c r="L83">
        <v>1</v>
      </c>
      <c r="M83">
        <v>1</v>
      </c>
      <c r="N83">
        <f t="shared" si="4"/>
        <v>0.43945000000000001</v>
      </c>
      <c r="O83">
        <f t="shared" si="5"/>
        <v>3</v>
      </c>
    </row>
    <row r="84" spans="1:15" x14ac:dyDescent="0.3">
      <c r="A84" t="s">
        <v>66</v>
      </c>
      <c r="B84" t="s">
        <v>81</v>
      </c>
      <c r="C84" t="s">
        <v>141</v>
      </c>
      <c r="D84" t="s">
        <v>374</v>
      </c>
      <c r="E84" t="s">
        <v>416</v>
      </c>
      <c r="F84">
        <v>1.75</v>
      </c>
      <c r="G84">
        <v>5.8</v>
      </c>
      <c r="H84">
        <v>3.75</v>
      </c>
      <c r="I84">
        <v>1.46</v>
      </c>
      <c r="J84" t="s">
        <v>564</v>
      </c>
      <c r="K84">
        <v>3</v>
      </c>
      <c r="L84">
        <v>3</v>
      </c>
      <c r="M84">
        <v>1</v>
      </c>
      <c r="N84">
        <f t="shared" si="4"/>
        <v>0.43009999999999998</v>
      </c>
      <c r="O84">
        <f t="shared" si="5"/>
        <v>6</v>
      </c>
    </row>
    <row r="85" spans="1:15" x14ac:dyDescent="0.3">
      <c r="A85" t="s">
        <v>67</v>
      </c>
      <c r="B85" t="s">
        <v>123</v>
      </c>
      <c r="C85" t="s">
        <v>213</v>
      </c>
      <c r="D85" t="s">
        <v>375</v>
      </c>
      <c r="E85" t="s">
        <v>539</v>
      </c>
      <c r="F85">
        <v>4.4000000000000004</v>
      </c>
      <c r="G85">
        <v>1.23</v>
      </c>
      <c r="H85">
        <v>4.9000000000000004</v>
      </c>
      <c r="I85">
        <v>1.27</v>
      </c>
      <c r="J85" t="s">
        <v>564</v>
      </c>
      <c r="K85">
        <v>1</v>
      </c>
      <c r="L85">
        <v>5</v>
      </c>
      <c r="M85">
        <v>1</v>
      </c>
      <c r="N85">
        <f t="shared" si="4"/>
        <v>0.25245000000000001</v>
      </c>
      <c r="O85">
        <f t="shared" si="5"/>
        <v>6</v>
      </c>
    </row>
    <row r="86" spans="1:15" x14ac:dyDescent="0.3">
      <c r="A86" t="s">
        <v>67</v>
      </c>
      <c r="B86" t="s">
        <v>123</v>
      </c>
      <c r="C86" t="s">
        <v>214</v>
      </c>
      <c r="D86" t="s">
        <v>376</v>
      </c>
      <c r="E86" t="s">
        <v>540</v>
      </c>
      <c r="F86">
        <v>1.71</v>
      </c>
      <c r="G86">
        <v>5.6</v>
      </c>
      <c r="H86">
        <v>3.5</v>
      </c>
      <c r="I86">
        <v>1.48</v>
      </c>
      <c r="J86" t="s">
        <v>564</v>
      </c>
      <c r="K86">
        <v>0</v>
      </c>
      <c r="L86">
        <v>0</v>
      </c>
      <c r="M86">
        <v>0</v>
      </c>
      <c r="N86">
        <f t="shared" si="4"/>
        <v>-1</v>
      </c>
      <c r="O86">
        <f t="shared" si="5"/>
        <v>0</v>
      </c>
    </row>
    <row r="87" spans="1:15" x14ac:dyDescent="0.3">
      <c r="A87" t="s">
        <v>67</v>
      </c>
      <c r="B87" t="s">
        <v>98</v>
      </c>
      <c r="C87" t="s">
        <v>156</v>
      </c>
      <c r="D87" t="s">
        <v>333</v>
      </c>
      <c r="E87" t="s">
        <v>541</v>
      </c>
      <c r="F87">
        <v>5.2</v>
      </c>
      <c r="G87">
        <v>1.84</v>
      </c>
      <c r="H87">
        <v>3.6</v>
      </c>
      <c r="I87">
        <v>1.46</v>
      </c>
      <c r="J87" t="s">
        <v>564</v>
      </c>
      <c r="K87">
        <v>0</v>
      </c>
      <c r="L87">
        <v>2</v>
      </c>
      <c r="M87">
        <v>1</v>
      </c>
      <c r="N87">
        <f t="shared" si="4"/>
        <v>0.43009999999999998</v>
      </c>
      <c r="O87">
        <f t="shared" si="5"/>
        <v>2</v>
      </c>
    </row>
    <row r="88" spans="1:15" x14ac:dyDescent="0.3">
      <c r="A88" t="s">
        <v>67</v>
      </c>
      <c r="B88" t="s">
        <v>76</v>
      </c>
      <c r="C88" t="s">
        <v>215</v>
      </c>
      <c r="D88" t="s">
        <v>377</v>
      </c>
      <c r="E88" t="s">
        <v>542</v>
      </c>
      <c r="F88">
        <v>4.5999999999999996</v>
      </c>
      <c r="G88">
        <v>2.06</v>
      </c>
      <c r="H88">
        <v>3.05</v>
      </c>
      <c r="I88">
        <v>1.63</v>
      </c>
      <c r="J88" t="s">
        <v>564</v>
      </c>
      <c r="K88">
        <v>2</v>
      </c>
      <c r="L88">
        <v>2</v>
      </c>
      <c r="M88">
        <v>1</v>
      </c>
      <c r="N88">
        <f t="shared" si="4"/>
        <v>0.58904999999999996</v>
      </c>
      <c r="O88">
        <f t="shared" si="5"/>
        <v>4</v>
      </c>
    </row>
    <row r="89" spans="1:15" x14ac:dyDescent="0.3">
      <c r="A89" t="s">
        <v>67</v>
      </c>
      <c r="B89" t="s">
        <v>104</v>
      </c>
      <c r="C89" t="s">
        <v>216</v>
      </c>
      <c r="D89" t="s">
        <v>378</v>
      </c>
      <c r="E89" t="s">
        <v>543</v>
      </c>
      <c r="F89">
        <v>9.8000000000000007</v>
      </c>
      <c r="G89">
        <v>1.3</v>
      </c>
      <c r="H89">
        <v>6.2</v>
      </c>
      <c r="I89">
        <v>1.24</v>
      </c>
      <c r="J89" t="s">
        <v>564</v>
      </c>
      <c r="K89">
        <v>0</v>
      </c>
      <c r="L89">
        <v>2</v>
      </c>
      <c r="M89">
        <v>1</v>
      </c>
      <c r="N89">
        <f t="shared" si="4"/>
        <v>0.22440000000000002</v>
      </c>
      <c r="O89">
        <f t="shared" si="5"/>
        <v>2</v>
      </c>
    </row>
    <row r="90" spans="1:15" x14ac:dyDescent="0.3">
      <c r="A90" t="s">
        <v>67</v>
      </c>
      <c r="B90" t="s">
        <v>104</v>
      </c>
      <c r="C90" t="s">
        <v>197</v>
      </c>
      <c r="D90" t="s">
        <v>327</v>
      </c>
      <c r="E90" t="s">
        <v>544</v>
      </c>
      <c r="F90">
        <v>1.91</v>
      </c>
      <c r="G90">
        <v>5.0999999999999996</v>
      </c>
      <c r="H90">
        <v>3.4</v>
      </c>
      <c r="I90">
        <v>1.51</v>
      </c>
      <c r="J90" t="s">
        <v>564</v>
      </c>
      <c r="K90">
        <v>1</v>
      </c>
      <c r="L90">
        <v>3</v>
      </c>
      <c r="M90">
        <v>1</v>
      </c>
      <c r="N90">
        <f t="shared" si="4"/>
        <v>0.47685000000000005</v>
      </c>
      <c r="O90">
        <f t="shared" si="5"/>
        <v>4</v>
      </c>
    </row>
    <row r="91" spans="1:15" x14ac:dyDescent="0.3">
      <c r="A91" t="s">
        <v>67</v>
      </c>
      <c r="B91" t="s">
        <v>74</v>
      </c>
      <c r="C91" t="s">
        <v>140</v>
      </c>
      <c r="D91" t="s">
        <v>379</v>
      </c>
      <c r="E91" t="s">
        <v>545</v>
      </c>
      <c r="F91">
        <v>1.5</v>
      </c>
      <c r="G91">
        <v>7</v>
      </c>
      <c r="H91">
        <v>4.8</v>
      </c>
      <c r="I91">
        <v>1.32</v>
      </c>
      <c r="J91" t="s">
        <v>564</v>
      </c>
      <c r="K91">
        <v>4</v>
      </c>
      <c r="L91">
        <v>0</v>
      </c>
      <c r="M91">
        <v>1</v>
      </c>
      <c r="N91">
        <f t="shared" si="4"/>
        <v>0.29920000000000008</v>
      </c>
      <c r="O91">
        <f t="shared" si="5"/>
        <v>4</v>
      </c>
    </row>
    <row r="92" spans="1:15" x14ac:dyDescent="0.3">
      <c r="A92" t="s">
        <v>67</v>
      </c>
      <c r="B92" t="s">
        <v>124</v>
      </c>
      <c r="C92" t="s">
        <v>197</v>
      </c>
      <c r="D92" t="s">
        <v>368</v>
      </c>
      <c r="E92" t="s">
        <v>546</v>
      </c>
      <c r="F92">
        <v>1.58</v>
      </c>
      <c r="G92">
        <v>6.6</v>
      </c>
      <c r="H92">
        <v>4.5</v>
      </c>
      <c r="I92">
        <v>1.35</v>
      </c>
      <c r="J92" t="s">
        <v>564</v>
      </c>
      <c r="K92">
        <v>2</v>
      </c>
      <c r="L92">
        <v>2</v>
      </c>
      <c r="M92">
        <v>1</v>
      </c>
      <c r="N92">
        <f t="shared" si="4"/>
        <v>0.3272500000000001</v>
      </c>
      <c r="O92">
        <f t="shared" si="5"/>
        <v>4</v>
      </c>
    </row>
    <row r="93" spans="1:15" x14ac:dyDescent="0.3">
      <c r="A93" t="s">
        <v>68</v>
      </c>
      <c r="B93" t="s">
        <v>120</v>
      </c>
      <c r="C93" t="s">
        <v>190</v>
      </c>
      <c r="D93" t="s">
        <v>313</v>
      </c>
      <c r="E93" t="s">
        <v>547</v>
      </c>
      <c r="F93">
        <v>6.4</v>
      </c>
      <c r="G93">
        <v>1.47</v>
      </c>
      <c r="H93">
        <v>4</v>
      </c>
      <c r="I93">
        <v>1.31</v>
      </c>
      <c r="J93" t="s">
        <v>564</v>
      </c>
      <c r="K93">
        <v>1</v>
      </c>
      <c r="L93">
        <v>0</v>
      </c>
      <c r="M93">
        <v>0</v>
      </c>
      <c r="N93">
        <f t="shared" si="4"/>
        <v>-1</v>
      </c>
      <c r="O93">
        <f t="shared" si="5"/>
        <v>1</v>
      </c>
    </row>
    <row r="94" spans="1:15" x14ac:dyDescent="0.3">
      <c r="A94" t="s">
        <v>68</v>
      </c>
      <c r="B94" t="s">
        <v>103</v>
      </c>
      <c r="C94" t="s">
        <v>135</v>
      </c>
      <c r="D94" t="s">
        <v>380</v>
      </c>
      <c r="E94" t="s">
        <v>528</v>
      </c>
      <c r="F94">
        <v>2</v>
      </c>
      <c r="G94">
        <v>4.7</v>
      </c>
      <c r="H94">
        <v>3.25</v>
      </c>
      <c r="I94">
        <v>1.53</v>
      </c>
      <c r="J94" t="s">
        <v>564</v>
      </c>
      <c r="K94">
        <v>1</v>
      </c>
      <c r="L94">
        <v>2</v>
      </c>
      <c r="M94">
        <v>1</v>
      </c>
      <c r="N94">
        <f t="shared" si="4"/>
        <v>0.49555000000000005</v>
      </c>
      <c r="O94">
        <f t="shared" si="5"/>
        <v>3</v>
      </c>
    </row>
    <row r="95" spans="1:15" x14ac:dyDescent="0.3">
      <c r="A95" t="s">
        <v>68</v>
      </c>
      <c r="B95" t="s">
        <v>90</v>
      </c>
      <c r="C95" t="s">
        <v>217</v>
      </c>
      <c r="D95" t="s">
        <v>381</v>
      </c>
      <c r="E95" t="s">
        <v>548</v>
      </c>
      <c r="F95">
        <v>1.38</v>
      </c>
      <c r="G95">
        <v>7.6</v>
      </c>
      <c r="H95">
        <v>4.2</v>
      </c>
      <c r="I95">
        <v>1.29</v>
      </c>
      <c r="J95" t="s">
        <v>564</v>
      </c>
      <c r="K95">
        <v>1</v>
      </c>
      <c r="L95">
        <v>2</v>
      </c>
      <c r="M95">
        <v>1</v>
      </c>
      <c r="N95">
        <f t="shared" si="4"/>
        <v>0.27115000000000006</v>
      </c>
      <c r="O95">
        <f t="shared" si="5"/>
        <v>3</v>
      </c>
    </row>
    <row r="96" spans="1:15" x14ac:dyDescent="0.3">
      <c r="A96" t="s">
        <v>69</v>
      </c>
      <c r="B96" t="s">
        <v>102</v>
      </c>
      <c r="C96" t="s">
        <v>218</v>
      </c>
      <c r="D96" t="s">
        <v>382</v>
      </c>
      <c r="E96" t="s">
        <v>549</v>
      </c>
      <c r="F96">
        <v>3.75</v>
      </c>
      <c r="G96">
        <v>2.2799999999999998</v>
      </c>
      <c r="H96">
        <v>3.1</v>
      </c>
      <c r="I96">
        <v>1.56</v>
      </c>
      <c r="J96" t="s">
        <v>564</v>
      </c>
      <c r="K96">
        <v>1</v>
      </c>
      <c r="L96">
        <v>3</v>
      </c>
      <c r="M96">
        <v>1</v>
      </c>
      <c r="N96">
        <f t="shared" si="4"/>
        <v>0.52360000000000007</v>
      </c>
      <c r="O96">
        <f t="shared" si="5"/>
        <v>4</v>
      </c>
    </row>
    <row r="97" spans="1:15" x14ac:dyDescent="0.3">
      <c r="A97" t="s">
        <v>70</v>
      </c>
      <c r="B97" t="s">
        <v>114</v>
      </c>
      <c r="C97" t="s">
        <v>189</v>
      </c>
      <c r="D97" t="s">
        <v>383</v>
      </c>
      <c r="E97" t="s">
        <v>550</v>
      </c>
      <c r="F97">
        <v>1.67</v>
      </c>
      <c r="G97">
        <v>6</v>
      </c>
      <c r="H97">
        <v>3.85</v>
      </c>
      <c r="I97">
        <v>1.41</v>
      </c>
      <c r="J97" t="s">
        <v>564</v>
      </c>
      <c r="K97">
        <v>2</v>
      </c>
      <c r="L97">
        <v>1</v>
      </c>
      <c r="M97">
        <v>1</v>
      </c>
      <c r="N97">
        <f t="shared" si="4"/>
        <v>0.38334999999999997</v>
      </c>
      <c r="O97">
        <f t="shared" si="5"/>
        <v>3</v>
      </c>
    </row>
    <row r="98" spans="1:15" x14ac:dyDescent="0.3">
      <c r="A98" t="s">
        <v>70</v>
      </c>
      <c r="B98" t="s">
        <v>125</v>
      </c>
      <c r="C98" t="s">
        <v>219</v>
      </c>
      <c r="D98" t="s">
        <v>384</v>
      </c>
      <c r="E98" t="s">
        <v>551</v>
      </c>
      <c r="F98">
        <v>1.29</v>
      </c>
      <c r="G98">
        <v>9.6</v>
      </c>
      <c r="H98">
        <v>5.4</v>
      </c>
      <c r="I98">
        <v>1.25</v>
      </c>
      <c r="J98" t="s">
        <v>564</v>
      </c>
      <c r="K98">
        <v>5</v>
      </c>
      <c r="L98">
        <v>3</v>
      </c>
      <c r="M98">
        <v>1</v>
      </c>
      <c r="N98">
        <f t="shared" si="4"/>
        <v>0.23375000000000001</v>
      </c>
      <c r="O98">
        <f t="shared" si="5"/>
        <v>8</v>
      </c>
    </row>
    <row r="99" spans="1:15" x14ac:dyDescent="0.3">
      <c r="A99" t="s">
        <v>70</v>
      </c>
      <c r="B99" t="s">
        <v>98</v>
      </c>
      <c r="C99" t="s">
        <v>136</v>
      </c>
      <c r="D99" t="s">
        <v>385</v>
      </c>
      <c r="E99" t="s">
        <v>234</v>
      </c>
      <c r="F99">
        <v>1.82</v>
      </c>
      <c r="G99">
        <v>4.9000000000000004</v>
      </c>
      <c r="H99">
        <v>3.45</v>
      </c>
      <c r="I99">
        <v>1.47</v>
      </c>
      <c r="J99" t="s">
        <v>564</v>
      </c>
      <c r="K99">
        <v>0</v>
      </c>
      <c r="L99">
        <v>0</v>
      </c>
      <c r="M99">
        <v>0</v>
      </c>
      <c r="N99">
        <f t="shared" si="4"/>
        <v>-1</v>
      </c>
      <c r="O99">
        <f t="shared" si="5"/>
        <v>0</v>
      </c>
    </row>
    <row r="100" spans="1:15" x14ac:dyDescent="0.3">
      <c r="A100" t="s">
        <v>70</v>
      </c>
      <c r="B100" t="s">
        <v>117</v>
      </c>
      <c r="C100" t="s">
        <v>171</v>
      </c>
      <c r="D100" t="s">
        <v>386</v>
      </c>
      <c r="E100" t="s">
        <v>552</v>
      </c>
      <c r="F100">
        <v>1.6</v>
      </c>
      <c r="G100">
        <v>6.4</v>
      </c>
      <c r="H100">
        <v>4.5</v>
      </c>
      <c r="I100">
        <v>1.37</v>
      </c>
      <c r="J100" t="s">
        <v>564</v>
      </c>
      <c r="K100">
        <v>2</v>
      </c>
      <c r="L100">
        <v>1</v>
      </c>
      <c r="M100">
        <v>1</v>
      </c>
      <c r="N100">
        <f t="shared" si="4"/>
        <v>0.34595000000000015</v>
      </c>
      <c r="O100">
        <f t="shared" si="5"/>
        <v>3</v>
      </c>
    </row>
    <row r="101" spans="1:15" x14ac:dyDescent="0.3">
      <c r="A101" t="s">
        <v>71</v>
      </c>
      <c r="B101" t="s">
        <v>90</v>
      </c>
      <c r="C101" t="s">
        <v>192</v>
      </c>
      <c r="D101" t="s">
        <v>317</v>
      </c>
      <c r="E101" t="s">
        <v>553</v>
      </c>
      <c r="F101">
        <v>1.97</v>
      </c>
      <c r="G101">
        <v>4.5999999999999996</v>
      </c>
      <c r="H101">
        <v>3.4</v>
      </c>
      <c r="I101">
        <v>1.3</v>
      </c>
      <c r="J101" t="s">
        <v>564</v>
      </c>
      <c r="K101">
        <v>1</v>
      </c>
      <c r="L101">
        <v>0</v>
      </c>
      <c r="M101">
        <v>1</v>
      </c>
      <c r="N101">
        <f t="shared" si="4"/>
        <v>0.28050000000000008</v>
      </c>
      <c r="O101">
        <f t="shared" si="5"/>
        <v>1</v>
      </c>
    </row>
    <row r="102" spans="1:15" x14ac:dyDescent="0.3">
      <c r="A102" t="s">
        <v>72</v>
      </c>
      <c r="B102" t="s">
        <v>110</v>
      </c>
      <c r="C102" t="s">
        <v>220</v>
      </c>
      <c r="D102" t="s">
        <v>387</v>
      </c>
      <c r="E102" t="s">
        <v>554</v>
      </c>
      <c r="F102">
        <v>1.67</v>
      </c>
      <c r="G102">
        <v>5.8</v>
      </c>
      <c r="H102">
        <v>3.95</v>
      </c>
      <c r="I102">
        <v>1.43</v>
      </c>
      <c r="J102" t="s">
        <v>564</v>
      </c>
      <c r="K102">
        <v>5</v>
      </c>
      <c r="L102">
        <v>0</v>
      </c>
      <c r="M102">
        <v>1</v>
      </c>
      <c r="N102">
        <f t="shared" si="4"/>
        <v>0.40204999999999996</v>
      </c>
      <c r="O102">
        <f t="shared" si="5"/>
        <v>5</v>
      </c>
    </row>
    <row r="103" spans="1:15" x14ac:dyDescent="0.3">
      <c r="A103" t="s">
        <v>72</v>
      </c>
      <c r="B103" t="s">
        <v>123</v>
      </c>
      <c r="C103" t="s">
        <v>214</v>
      </c>
      <c r="D103" t="s">
        <v>388</v>
      </c>
      <c r="E103" t="s">
        <v>555</v>
      </c>
      <c r="F103">
        <v>1.53</v>
      </c>
      <c r="G103">
        <v>6.2</v>
      </c>
      <c r="H103">
        <v>4</v>
      </c>
      <c r="I103">
        <v>1.35</v>
      </c>
      <c r="J103" t="s">
        <v>564</v>
      </c>
      <c r="K103">
        <v>3</v>
      </c>
      <c r="L103">
        <v>0</v>
      </c>
      <c r="M103">
        <v>1</v>
      </c>
      <c r="N103">
        <f t="shared" si="4"/>
        <v>0.3272500000000001</v>
      </c>
      <c r="O103">
        <f t="shared" si="5"/>
        <v>3</v>
      </c>
    </row>
    <row r="104" spans="1:15" x14ac:dyDescent="0.3">
      <c r="A104" t="s">
        <v>72</v>
      </c>
      <c r="B104" t="s">
        <v>126</v>
      </c>
      <c r="C104" t="s">
        <v>221</v>
      </c>
      <c r="D104" t="s">
        <v>389</v>
      </c>
      <c r="E104" t="s">
        <v>556</v>
      </c>
      <c r="F104">
        <v>1.69</v>
      </c>
      <c r="G104">
        <v>4</v>
      </c>
      <c r="H104">
        <v>3.4</v>
      </c>
      <c r="I104">
        <v>1.4</v>
      </c>
      <c r="J104" t="s">
        <v>564</v>
      </c>
      <c r="K104">
        <v>1</v>
      </c>
      <c r="L104">
        <v>1</v>
      </c>
      <c r="M104">
        <v>1</v>
      </c>
      <c r="N104">
        <f t="shared" si="4"/>
        <v>0.37399999999999994</v>
      </c>
      <c r="O104">
        <f t="shared" si="5"/>
        <v>2</v>
      </c>
    </row>
    <row r="105" spans="1:15" x14ac:dyDescent="0.3">
      <c r="A105" t="s">
        <v>72</v>
      </c>
      <c r="B105" t="s">
        <v>89</v>
      </c>
      <c r="C105" t="s">
        <v>214</v>
      </c>
      <c r="D105" t="s">
        <v>390</v>
      </c>
      <c r="E105" t="s">
        <v>557</v>
      </c>
      <c r="F105">
        <v>1.46</v>
      </c>
      <c r="G105">
        <v>6.8</v>
      </c>
      <c r="H105">
        <v>4.5</v>
      </c>
      <c r="I105">
        <v>1.33</v>
      </c>
      <c r="J105" t="s">
        <v>564</v>
      </c>
      <c r="K105">
        <v>3</v>
      </c>
      <c r="L105">
        <v>2</v>
      </c>
      <c r="M105">
        <v>1</v>
      </c>
      <c r="N105">
        <f t="shared" si="4"/>
        <v>0.3085500000000001</v>
      </c>
      <c r="O105">
        <f t="shared" si="5"/>
        <v>5</v>
      </c>
    </row>
    <row r="106" spans="1:15" x14ac:dyDescent="0.3">
      <c r="A106" t="s">
        <v>72</v>
      </c>
      <c r="B106" t="s">
        <v>76</v>
      </c>
      <c r="C106" t="s">
        <v>215</v>
      </c>
      <c r="D106" t="s">
        <v>391</v>
      </c>
      <c r="E106" t="s">
        <v>377</v>
      </c>
      <c r="F106">
        <v>1.69</v>
      </c>
      <c r="G106">
        <v>5.8</v>
      </c>
      <c r="H106">
        <v>3.9</v>
      </c>
      <c r="I106">
        <v>1.42</v>
      </c>
      <c r="J106" t="s">
        <v>564</v>
      </c>
      <c r="K106">
        <v>3</v>
      </c>
      <c r="L106">
        <v>1</v>
      </c>
      <c r="M106">
        <v>1</v>
      </c>
      <c r="N106">
        <f t="shared" si="4"/>
        <v>0.39269999999999994</v>
      </c>
      <c r="O106">
        <f t="shared" si="5"/>
        <v>4</v>
      </c>
    </row>
    <row r="107" spans="1:15" x14ac:dyDescent="0.3">
      <c r="A107" t="s">
        <v>72</v>
      </c>
      <c r="B107" t="s">
        <v>76</v>
      </c>
      <c r="C107" t="s">
        <v>132</v>
      </c>
      <c r="D107" t="s">
        <v>228</v>
      </c>
      <c r="E107" t="s">
        <v>558</v>
      </c>
      <c r="F107">
        <v>2.14</v>
      </c>
      <c r="G107">
        <v>4.7</v>
      </c>
      <c r="H107">
        <v>3</v>
      </c>
      <c r="I107">
        <v>1.65</v>
      </c>
      <c r="J107" t="s">
        <v>564</v>
      </c>
      <c r="K107">
        <v>2</v>
      </c>
      <c r="L107">
        <v>1</v>
      </c>
      <c r="M107">
        <v>1</v>
      </c>
      <c r="N107">
        <f t="shared" si="4"/>
        <v>0.6077499999999999</v>
      </c>
      <c r="O107">
        <f t="shared" si="5"/>
        <v>3</v>
      </c>
    </row>
    <row r="108" spans="1:15" x14ac:dyDescent="0.3">
      <c r="A108" t="s">
        <v>72</v>
      </c>
      <c r="B108" t="s">
        <v>80</v>
      </c>
      <c r="C108" t="s">
        <v>191</v>
      </c>
      <c r="D108" t="s">
        <v>392</v>
      </c>
      <c r="E108" t="s">
        <v>559</v>
      </c>
      <c r="F108">
        <v>1.57</v>
      </c>
      <c r="G108">
        <v>6</v>
      </c>
      <c r="H108">
        <v>4</v>
      </c>
      <c r="I108">
        <v>1.37</v>
      </c>
      <c r="J108" t="s">
        <v>564</v>
      </c>
      <c r="K108">
        <v>3</v>
      </c>
      <c r="L108">
        <v>0</v>
      </c>
      <c r="M108">
        <v>1</v>
      </c>
      <c r="N108">
        <f t="shared" si="4"/>
        <v>0.34595000000000015</v>
      </c>
      <c r="O108">
        <f t="shared" si="5"/>
        <v>3</v>
      </c>
    </row>
    <row r="109" spans="1:15" x14ac:dyDescent="0.3">
      <c r="A109" t="s">
        <v>72</v>
      </c>
      <c r="B109" t="s">
        <v>80</v>
      </c>
      <c r="C109" t="s">
        <v>134</v>
      </c>
      <c r="D109" t="s">
        <v>393</v>
      </c>
      <c r="E109" t="s">
        <v>406</v>
      </c>
      <c r="F109">
        <v>1.71</v>
      </c>
      <c r="G109">
        <v>5.5</v>
      </c>
      <c r="H109">
        <v>3.95</v>
      </c>
      <c r="I109">
        <v>1.41</v>
      </c>
      <c r="J109" t="s">
        <v>564</v>
      </c>
      <c r="K109">
        <v>1</v>
      </c>
      <c r="L109">
        <v>0</v>
      </c>
      <c r="M109">
        <v>1</v>
      </c>
      <c r="N109">
        <f t="shared" si="4"/>
        <v>0.38334999999999997</v>
      </c>
      <c r="O109">
        <f t="shared" si="5"/>
        <v>1</v>
      </c>
    </row>
    <row r="110" spans="1:15" x14ac:dyDescent="0.3">
      <c r="A110" t="s">
        <v>72</v>
      </c>
      <c r="B110" t="s">
        <v>84</v>
      </c>
      <c r="C110" t="s">
        <v>190</v>
      </c>
      <c r="D110" t="s">
        <v>394</v>
      </c>
      <c r="E110" t="s">
        <v>313</v>
      </c>
      <c r="F110">
        <v>1.49</v>
      </c>
      <c r="G110">
        <v>6.8</v>
      </c>
      <c r="H110">
        <v>4.5</v>
      </c>
      <c r="I110">
        <v>1.35</v>
      </c>
      <c r="J110" t="s">
        <v>564</v>
      </c>
      <c r="K110">
        <v>1</v>
      </c>
      <c r="L110">
        <v>1</v>
      </c>
      <c r="M110">
        <v>1</v>
      </c>
      <c r="N110">
        <f t="shared" si="4"/>
        <v>0.3272500000000001</v>
      </c>
      <c r="O110">
        <f t="shared" si="5"/>
        <v>2</v>
      </c>
    </row>
    <row r="111" spans="1:15" x14ac:dyDescent="0.3">
      <c r="A111" t="s">
        <v>72</v>
      </c>
      <c r="B111" t="s">
        <v>74</v>
      </c>
      <c r="C111" t="s">
        <v>162</v>
      </c>
      <c r="D111" t="s">
        <v>395</v>
      </c>
      <c r="E111" t="s">
        <v>560</v>
      </c>
      <c r="F111">
        <v>1.66</v>
      </c>
      <c r="G111">
        <v>5.9</v>
      </c>
      <c r="H111">
        <v>3.9</v>
      </c>
      <c r="I111">
        <v>1.43</v>
      </c>
      <c r="J111" t="s">
        <v>564</v>
      </c>
      <c r="K111">
        <v>3</v>
      </c>
      <c r="L111">
        <v>0</v>
      </c>
      <c r="M111">
        <v>1</v>
      </c>
      <c r="N111">
        <f t="shared" si="4"/>
        <v>0.40204999999999996</v>
      </c>
      <c r="O111">
        <f t="shared" si="5"/>
        <v>3</v>
      </c>
    </row>
    <row r="112" spans="1:15" x14ac:dyDescent="0.3">
      <c r="A112" t="s">
        <v>72</v>
      </c>
      <c r="B112" t="s">
        <v>82</v>
      </c>
      <c r="C112" t="s">
        <v>179</v>
      </c>
      <c r="D112" t="s">
        <v>396</v>
      </c>
      <c r="E112" t="s">
        <v>561</v>
      </c>
      <c r="F112">
        <v>1.89</v>
      </c>
      <c r="G112">
        <v>4.2</v>
      </c>
      <c r="H112">
        <v>3.15</v>
      </c>
      <c r="I112">
        <v>1.54</v>
      </c>
      <c r="J112" t="s">
        <v>564</v>
      </c>
      <c r="K112">
        <v>2</v>
      </c>
      <c r="L112">
        <v>2</v>
      </c>
      <c r="M112">
        <v>0</v>
      </c>
      <c r="N112">
        <f t="shared" si="4"/>
        <v>-1</v>
      </c>
      <c r="O112">
        <f t="shared" si="5"/>
        <v>4</v>
      </c>
    </row>
    <row r="113" spans="1:15" x14ac:dyDescent="0.3">
      <c r="A113" t="s">
        <v>72</v>
      </c>
      <c r="B113" t="s">
        <v>97</v>
      </c>
      <c r="C113" t="s">
        <v>222</v>
      </c>
      <c r="D113" t="s">
        <v>397</v>
      </c>
      <c r="E113" t="s">
        <v>562</v>
      </c>
      <c r="F113">
        <v>1.64</v>
      </c>
      <c r="G113">
        <v>4.7</v>
      </c>
      <c r="H113">
        <v>3.45</v>
      </c>
      <c r="I113">
        <v>1.39</v>
      </c>
      <c r="J113" t="s">
        <v>564</v>
      </c>
      <c r="K113">
        <v>2</v>
      </c>
      <c r="L113">
        <v>0</v>
      </c>
      <c r="M113">
        <v>1</v>
      </c>
      <c r="N113">
        <f t="shared" si="4"/>
        <v>0.36464999999999992</v>
      </c>
      <c r="O113">
        <f t="shared" si="5"/>
        <v>2</v>
      </c>
    </row>
    <row r="114" spans="1:15" x14ac:dyDescent="0.3">
      <c r="A114" t="s">
        <v>73</v>
      </c>
      <c r="B114" t="s">
        <v>91</v>
      </c>
      <c r="C114" t="s">
        <v>211</v>
      </c>
      <c r="D114" t="s">
        <v>398</v>
      </c>
      <c r="E114" t="s">
        <v>563</v>
      </c>
      <c r="F114">
        <v>2.14</v>
      </c>
      <c r="G114">
        <v>4.3</v>
      </c>
      <c r="H114">
        <v>2.98</v>
      </c>
      <c r="I114">
        <v>1.6</v>
      </c>
      <c r="J114" t="s">
        <v>564</v>
      </c>
      <c r="K114">
        <v>1</v>
      </c>
      <c r="L114">
        <v>0</v>
      </c>
      <c r="M114">
        <v>1</v>
      </c>
      <c r="N114">
        <f t="shared" si="4"/>
        <v>0.56100000000000017</v>
      </c>
      <c r="O114">
        <f t="shared" si="5"/>
        <v>1</v>
      </c>
    </row>
    <row r="115" spans="1:15" x14ac:dyDescent="0.3">
      <c r="A115" t="s">
        <v>36</v>
      </c>
      <c r="B115" t="s">
        <v>82</v>
      </c>
      <c r="C115" t="s">
        <v>167</v>
      </c>
      <c r="D115" t="s">
        <v>303</v>
      </c>
      <c r="E115" t="s">
        <v>277</v>
      </c>
      <c r="F115">
        <v>1.85</v>
      </c>
      <c r="G115">
        <v>4.8</v>
      </c>
      <c r="H115">
        <v>3.85</v>
      </c>
      <c r="I115">
        <v>1.45</v>
      </c>
      <c r="J115" t="s">
        <v>564</v>
      </c>
      <c r="K115">
        <v>2</v>
      </c>
      <c r="L115">
        <v>1</v>
      </c>
      <c r="M115">
        <v>1</v>
      </c>
      <c r="N115">
        <f t="shared" si="4"/>
        <v>0.42074999999999996</v>
      </c>
      <c r="O115">
        <f t="shared" si="5"/>
        <v>3</v>
      </c>
    </row>
    <row r="116" spans="1:15" x14ac:dyDescent="0.3">
      <c r="A116" t="s">
        <v>37</v>
      </c>
      <c r="B116" t="s">
        <v>79</v>
      </c>
      <c r="C116" t="s">
        <v>181</v>
      </c>
      <c r="D116" t="s">
        <v>304</v>
      </c>
      <c r="E116" t="s">
        <v>469</v>
      </c>
      <c r="F116">
        <v>6.2</v>
      </c>
      <c r="G116">
        <v>1.58</v>
      </c>
      <c r="H116">
        <v>4.0999999999999996</v>
      </c>
      <c r="I116">
        <v>1.35</v>
      </c>
      <c r="J116" t="s">
        <v>564</v>
      </c>
      <c r="K116">
        <v>1</v>
      </c>
      <c r="L116">
        <v>4</v>
      </c>
      <c r="M116">
        <v>1</v>
      </c>
      <c r="N116">
        <f t="shared" si="4"/>
        <v>0.3272500000000001</v>
      </c>
      <c r="O116">
        <f t="shared" si="5"/>
        <v>5</v>
      </c>
    </row>
    <row r="117" spans="1:15" x14ac:dyDescent="0.3">
      <c r="A117" t="s">
        <v>38</v>
      </c>
      <c r="B117" t="s">
        <v>89</v>
      </c>
      <c r="C117" t="s">
        <v>182</v>
      </c>
      <c r="D117" t="s">
        <v>305</v>
      </c>
      <c r="E117" t="s">
        <v>470</v>
      </c>
      <c r="F117">
        <v>1.49</v>
      </c>
      <c r="G117">
        <v>7</v>
      </c>
      <c r="H117">
        <v>4.5999999999999996</v>
      </c>
      <c r="I117">
        <v>1.33</v>
      </c>
      <c r="J117" t="s">
        <v>564</v>
      </c>
      <c r="K117">
        <v>1</v>
      </c>
      <c r="L117">
        <v>0</v>
      </c>
      <c r="M117">
        <v>1</v>
      </c>
      <c r="N117">
        <f t="shared" si="4"/>
        <v>0.3085500000000001</v>
      </c>
      <c r="O117">
        <f t="shared" si="5"/>
        <v>1</v>
      </c>
    </row>
    <row r="118" spans="1:15" x14ac:dyDescent="0.3">
      <c r="A118" t="s">
        <v>38</v>
      </c>
      <c r="B118" t="s">
        <v>87</v>
      </c>
      <c r="C118" t="s">
        <v>183</v>
      </c>
      <c r="D118" t="s">
        <v>306</v>
      </c>
      <c r="E118" t="s">
        <v>471</v>
      </c>
      <c r="F118">
        <v>1.56</v>
      </c>
      <c r="G118">
        <v>6</v>
      </c>
      <c r="H118">
        <v>3.75</v>
      </c>
      <c r="I118">
        <v>1.41</v>
      </c>
      <c r="J118" t="s">
        <v>564</v>
      </c>
      <c r="K118">
        <v>3</v>
      </c>
      <c r="L118">
        <v>0</v>
      </c>
      <c r="M118">
        <v>0</v>
      </c>
      <c r="N118">
        <f t="shared" si="4"/>
        <v>-1</v>
      </c>
      <c r="O118">
        <f t="shared" si="5"/>
        <v>3</v>
      </c>
    </row>
    <row r="119" spans="1:15" x14ac:dyDescent="0.3">
      <c r="A119" t="s">
        <v>38</v>
      </c>
      <c r="B119" t="s">
        <v>84</v>
      </c>
      <c r="C119" t="s">
        <v>184</v>
      </c>
      <c r="D119" t="s">
        <v>307</v>
      </c>
      <c r="E119" t="s">
        <v>472</v>
      </c>
      <c r="F119">
        <v>1.9</v>
      </c>
      <c r="G119">
        <v>4</v>
      </c>
      <c r="H119">
        <v>2.88</v>
      </c>
      <c r="I119">
        <v>1.49</v>
      </c>
      <c r="J119" t="s">
        <v>564</v>
      </c>
      <c r="K119">
        <v>0</v>
      </c>
      <c r="L119">
        <v>2</v>
      </c>
      <c r="M119">
        <v>1</v>
      </c>
      <c r="N119">
        <f t="shared" si="4"/>
        <v>0.45815</v>
      </c>
      <c r="O119">
        <f t="shared" si="5"/>
        <v>2</v>
      </c>
    </row>
    <row r="120" spans="1:15" x14ac:dyDescent="0.3">
      <c r="A120" t="s">
        <v>38</v>
      </c>
      <c r="B120" t="s">
        <v>108</v>
      </c>
      <c r="C120" t="s">
        <v>185</v>
      </c>
      <c r="D120" t="s">
        <v>308</v>
      </c>
      <c r="E120" t="s">
        <v>473</v>
      </c>
      <c r="F120">
        <v>1.87</v>
      </c>
      <c r="G120">
        <v>4.7</v>
      </c>
      <c r="H120">
        <v>3.45</v>
      </c>
      <c r="I120">
        <v>1.49</v>
      </c>
      <c r="J120" t="s">
        <v>564</v>
      </c>
      <c r="K120">
        <v>4</v>
      </c>
      <c r="L120">
        <v>1</v>
      </c>
      <c r="M120">
        <v>1</v>
      </c>
      <c r="N120">
        <f t="shared" si="4"/>
        <v>0.45815</v>
      </c>
      <c r="O120">
        <f t="shared" si="5"/>
        <v>5</v>
      </c>
    </row>
    <row r="121" spans="1:15" x14ac:dyDescent="0.3">
      <c r="A121" t="s">
        <v>38</v>
      </c>
      <c r="B121" t="s">
        <v>85</v>
      </c>
      <c r="C121" t="s">
        <v>186</v>
      </c>
      <c r="D121" t="s">
        <v>309</v>
      </c>
      <c r="E121" t="s">
        <v>474</v>
      </c>
      <c r="F121">
        <v>3.75</v>
      </c>
      <c r="G121">
        <v>2.12</v>
      </c>
      <c r="H121">
        <v>3.45</v>
      </c>
      <c r="I121">
        <v>1.5</v>
      </c>
      <c r="J121" t="s">
        <v>564</v>
      </c>
      <c r="K121">
        <v>0</v>
      </c>
      <c r="L121">
        <v>2</v>
      </c>
      <c r="M121">
        <v>1</v>
      </c>
      <c r="N121">
        <f t="shared" si="4"/>
        <v>0.46750000000000003</v>
      </c>
      <c r="O121">
        <f t="shared" si="5"/>
        <v>2</v>
      </c>
    </row>
    <row r="122" spans="1:15" x14ac:dyDescent="0.3">
      <c r="A122" t="s">
        <v>39</v>
      </c>
      <c r="B122" t="s">
        <v>109</v>
      </c>
      <c r="C122" t="s">
        <v>187</v>
      </c>
      <c r="D122" t="s">
        <v>310</v>
      </c>
      <c r="E122" t="s">
        <v>475</v>
      </c>
      <c r="F122">
        <v>1.58</v>
      </c>
      <c r="G122">
        <v>6.4</v>
      </c>
      <c r="H122">
        <v>4.4000000000000004</v>
      </c>
      <c r="I122">
        <v>1.38</v>
      </c>
      <c r="J122" t="s">
        <v>564</v>
      </c>
      <c r="K122">
        <v>3</v>
      </c>
      <c r="L122">
        <v>1</v>
      </c>
      <c r="M122">
        <v>1</v>
      </c>
      <c r="N122">
        <f t="shared" si="4"/>
        <v>0.35529999999999989</v>
      </c>
      <c r="O122">
        <f t="shared" si="5"/>
        <v>4</v>
      </c>
    </row>
    <row r="123" spans="1:15" x14ac:dyDescent="0.3">
      <c r="A123" t="s">
        <v>39</v>
      </c>
      <c r="B123" t="s">
        <v>110</v>
      </c>
      <c r="C123" t="s">
        <v>188</v>
      </c>
      <c r="D123" t="s">
        <v>311</v>
      </c>
      <c r="E123" t="s">
        <v>476</v>
      </c>
      <c r="F123">
        <v>1.57</v>
      </c>
      <c r="G123">
        <v>6.4</v>
      </c>
      <c r="H123">
        <v>4.5</v>
      </c>
      <c r="I123">
        <v>1.38</v>
      </c>
      <c r="J123" t="s">
        <v>564</v>
      </c>
      <c r="K123">
        <v>2</v>
      </c>
      <c r="L123">
        <v>1</v>
      </c>
      <c r="M123">
        <v>1</v>
      </c>
      <c r="N123">
        <f t="shared" si="4"/>
        <v>0.35529999999999989</v>
      </c>
      <c r="O123">
        <f t="shared" si="5"/>
        <v>3</v>
      </c>
    </row>
    <row r="124" spans="1:15" x14ac:dyDescent="0.3">
      <c r="A124" t="s">
        <v>39</v>
      </c>
      <c r="B124" t="s">
        <v>89</v>
      </c>
      <c r="C124" t="s">
        <v>189</v>
      </c>
      <c r="D124" t="s">
        <v>312</v>
      </c>
      <c r="E124" t="s">
        <v>477</v>
      </c>
      <c r="F124">
        <v>1.87</v>
      </c>
      <c r="G124">
        <v>4.7</v>
      </c>
      <c r="H124">
        <v>3.65</v>
      </c>
      <c r="I124">
        <v>1.45</v>
      </c>
      <c r="J124" t="s">
        <v>564</v>
      </c>
      <c r="K124">
        <v>1</v>
      </c>
      <c r="L124">
        <v>1</v>
      </c>
      <c r="M124">
        <v>1</v>
      </c>
      <c r="N124">
        <f t="shared" si="4"/>
        <v>0.42074999999999996</v>
      </c>
      <c r="O124">
        <f t="shared" si="5"/>
        <v>2</v>
      </c>
    </row>
    <row r="125" spans="1:15" x14ac:dyDescent="0.3">
      <c r="A125" t="s">
        <v>39</v>
      </c>
      <c r="B125" t="s">
        <v>77</v>
      </c>
      <c r="C125" t="s">
        <v>190</v>
      </c>
      <c r="D125" t="s">
        <v>313</v>
      </c>
      <c r="E125" t="s">
        <v>478</v>
      </c>
      <c r="F125">
        <v>6.2</v>
      </c>
      <c r="G125">
        <v>1.52</v>
      </c>
      <c r="H125">
        <v>4.5999999999999996</v>
      </c>
      <c r="I125">
        <v>1.33</v>
      </c>
      <c r="J125" t="s">
        <v>564</v>
      </c>
      <c r="K125">
        <v>3</v>
      </c>
      <c r="L125">
        <v>4</v>
      </c>
      <c r="M125">
        <v>1</v>
      </c>
      <c r="N125">
        <f t="shared" si="4"/>
        <v>0.3085500000000001</v>
      </c>
      <c r="O125">
        <f t="shared" si="5"/>
        <v>7</v>
      </c>
    </row>
    <row r="126" spans="1:15" x14ac:dyDescent="0.3">
      <c r="A126" t="s">
        <v>39</v>
      </c>
      <c r="B126" t="s">
        <v>80</v>
      </c>
      <c r="C126" t="s">
        <v>191</v>
      </c>
      <c r="D126" t="s">
        <v>314</v>
      </c>
      <c r="E126" t="s">
        <v>479</v>
      </c>
      <c r="F126">
        <v>1.74</v>
      </c>
      <c r="G126">
        <v>5.3</v>
      </c>
      <c r="H126">
        <v>3.45</v>
      </c>
      <c r="I126">
        <v>1.47</v>
      </c>
      <c r="J126" t="s">
        <v>564</v>
      </c>
      <c r="K126">
        <v>2</v>
      </c>
      <c r="L126">
        <v>0</v>
      </c>
      <c r="M126">
        <v>0</v>
      </c>
      <c r="N126">
        <f t="shared" si="4"/>
        <v>-1</v>
      </c>
      <c r="O126">
        <f t="shared" si="5"/>
        <v>2</v>
      </c>
    </row>
    <row r="127" spans="1:15" x14ac:dyDescent="0.3">
      <c r="A127" t="s">
        <v>39</v>
      </c>
      <c r="B127" t="s">
        <v>80</v>
      </c>
      <c r="C127" t="s">
        <v>142</v>
      </c>
      <c r="D127" t="s">
        <v>315</v>
      </c>
      <c r="E127" t="s">
        <v>480</v>
      </c>
      <c r="F127">
        <v>1.66</v>
      </c>
      <c r="G127">
        <v>5.4</v>
      </c>
      <c r="H127">
        <v>4.0999999999999996</v>
      </c>
      <c r="I127">
        <v>1.38</v>
      </c>
      <c r="J127" t="s">
        <v>564</v>
      </c>
      <c r="K127">
        <v>6</v>
      </c>
      <c r="L127">
        <v>2</v>
      </c>
      <c r="M127">
        <v>1</v>
      </c>
      <c r="N127">
        <f t="shared" si="4"/>
        <v>0.35529999999999989</v>
      </c>
      <c r="O127">
        <f t="shared" si="5"/>
        <v>8</v>
      </c>
    </row>
    <row r="128" spans="1:15" x14ac:dyDescent="0.3">
      <c r="A128" t="s">
        <v>39</v>
      </c>
      <c r="B128" t="s">
        <v>94</v>
      </c>
      <c r="C128" t="s">
        <v>154</v>
      </c>
      <c r="D128" t="s">
        <v>316</v>
      </c>
      <c r="E128" t="s">
        <v>434</v>
      </c>
      <c r="F128">
        <v>1.68</v>
      </c>
      <c r="G128">
        <v>5.7</v>
      </c>
      <c r="H128">
        <v>3.95</v>
      </c>
      <c r="I128">
        <v>1.41</v>
      </c>
      <c r="J128" t="s">
        <v>564</v>
      </c>
      <c r="K128">
        <v>2</v>
      </c>
      <c r="L128">
        <v>0</v>
      </c>
      <c r="M128">
        <v>1</v>
      </c>
      <c r="N128">
        <f t="shared" si="4"/>
        <v>0.38334999999999997</v>
      </c>
      <c r="O128">
        <f t="shared" si="5"/>
        <v>2</v>
      </c>
    </row>
    <row r="129" spans="1:15" x14ac:dyDescent="0.3">
      <c r="A129" t="s">
        <v>40</v>
      </c>
      <c r="B129" t="s">
        <v>76</v>
      </c>
      <c r="C129" t="s">
        <v>192</v>
      </c>
      <c r="D129" t="s">
        <v>317</v>
      </c>
      <c r="E129" t="s">
        <v>481</v>
      </c>
      <c r="F129">
        <v>1.84</v>
      </c>
      <c r="G129">
        <v>5.5</v>
      </c>
      <c r="H129">
        <v>3.55</v>
      </c>
      <c r="I129">
        <v>1.51</v>
      </c>
      <c r="J129" t="s">
        <v>564</v>
      </c>
      <c r="K129">
        <v>0</v>
      </c>
      <c r="L129">
        <v>0</v>
      </c>
      <c r="M129">
        <v>0</v>
      </c>
      <c r="N129">
        <f t="shared" si="4"/>
        <v>-1</v>
      </c>
      <c r="O129">
        <f t="shared" si="5"/>
        <v>0</v>
      </c>
    </row>
    <row r="130" spans="1:15" x14ac:dyDescent="0.3">
      <c r="A130" t="s">
        <v>40</v>
      </c>
      <c r="B130" t="s">
        <v>105</v>
      </c>
      <c r="C130" t="s">
        <v>193</v>
      </c>
      <c r="D130" t="s">
        <v>318</v>
      </c>
      <c r="E130" t="s">
        <v>482</v>
      </c>
      <c r="F130">
        <v>1.68</v>
      </c>
      <c r="G130">
        <v>6.2</v>
      </c>
      <c r="H130">
        <v>4</v>
      </c>
      <c r="I130">
        <v>1.42</v>
      </c>
      <c r="J130" t="s">
        <v>564</v>
      </c>
      <c r="K130">
        <v>1</v>
      </c>
      <c r="L130">
        <v>1</v>
      </c>
      <c r="M130">
        <v>1</v>
      </c>
      <c r="N130">
        <f t="shared" si="4"/>
        <v>0.39269999999999994</v>
      </c>
      <c r="O130">
        <f t="shared" si="5"/>
        <v>2</v>
      </c>
    </row>
    <row r="131" spans="1:15" x14ac:dyDescent="0.3">
      <c r="A131" t="s">
        <v>40</v>
      </c>
      <c r="B131" t="s">
        <v>105</v>
      </c>
      <c r="C131" t="s">
        <v>194</v>
      </c>
      <c r="D131" t="s">
        <v>319</v>
      </c>
      <c r="E131" t="s">
        <v>483</v>
      </c>
      <c r="F131">
        <v>1.52</v>
      </c>
      <c r="G131">
        <v>6.2</v>
      </c>
      <c r="H131">
        <v>3.75</v>
      </c>
      <c r="I131">
        <v>1.37</v>
      </c>
      <c r="J131" t="s">
        <v>564</v>
      </c>
      <c r="K131">
        <v>0</v>
      </c>
      <c r="L131">
        <v>3</v>
      </c>
      <c r="M131">
        <v>1</v>
      </c>
      <c r="N131">
        <f t="shared" si="4"/>
        <v>0.34595000000000015</v>
      </c>
      <c r="O131">
        <f t="shared" si="5"/>
        <v>3</v>
      </c>
    </row>
    <row r="132" spans="1:15" x14ac:dyDescent="0.3">
      <c r="A132" t="s">
        <v>40</v>
      </c>
      <c r="B132" t="s">
        <v>82</v>
      </c>
      <c r="C132" t="s">
        <v>143</v>
      </c>
      <c r="D132" t="s">
        <v>320</v>
      </c>
      <c r="E132" t="s">
        <v>484</v>
      </c>
      <c r="F132">
        <v>1.58</v>
      </c>
      <c r="G132">
        <v>6.2</v>
      </c>
      <c r="H132">
        <v>4.0999999999999996</v>
      </c>
      <c r="I132">
        <v>1.4</v>
      </c>
      <c r="J132" t="s">
        <v>564</v>
      </c>
      <c r="K132">
        <v>2</v>
      </c>
      <c r="L132">
        <v>3</v>
      </c>
      <c r="M132">
        <v>1</v>
      </c>
      <c r="N132">
        <f t="shared" ref="N132:N195" si="6">IF(M132=1,0.935*(I132-1),-1)</f>
        <v>0.37399999999999994</v>
      </c>
      <c r="O132">
        <f t="shared" ref="O132:O195" si="7">K132+L132</f>
        <v>5</v>
      </c>
    </row>
    <row r="133" spans="1:15" x14ac:dyDescent="0.3">
      <c r="A133" t="s">
        <v>41</v>
      </c>
      <c r="B133" t="s">
        <v>85</v>
      </c>
      <c r="C133" t="s">
        <v>132</v>
      </c>
      <c r="D133" t="s">
        <v>321</v>
      </c>
      <c r="E133" t="s">
        <v>485</v>
      </c>
      <c r="F133">
        <v>5.4</v>
      </c>
      <c r="G133">
        <v>1.83</v>
      </c>
      <c r="H133">
        <v>3.7</v>
      </c>
      <c r="I133">
        <v>1.45</v>
      </c>
      <c r="J133" t="s">
        <v>564</v>
      </c>
      <c r="K133">
        <v>2</v>
      </c>
      <c r="L133">
        <v>3</v>
      </c>
      <c r="M133">
        <v>1</v>
      </c>
      <c r="N133">
        <f t="shared" si="6"/>
        <v>0.42074999999999996</v>
      </c>
      <c r="O133">
        <f t="shared" si="7"/>
        <v>5</v>
      </c>
    </row>
    <row r="134" spans="1:15" x14ac:dyDescent="0.3">
      <c r="A134" t="s">
        <v>42</v>
      </c>
      <c r="B134" t="s">
        <v>90</v>
      </c>
      <c r="C134" t="s">
        <v>195</v>
      </c>
      <c r="D134" t="s">
        <v>322</v>
      </c>
      <c r="E134" t="s">
        <v>486</v>
      </c>
      <c r="F134">
        <v>1.86</v>
      </c>
      <c r="G134">
        <v>4.8</v>
      </c>
      <c r="H134">
        <v>3.15</v>
      </c>
      <c r="I134">
        <v>1.51</v>
      </c>
      <c r="J134" t="s">
        <v>564</v>
      </c>
      <c r="K134">
        <v>1</v>
      </c>
      <c r="L134">
        <v>1</v>
      </c>
      <c r="M134">
        <v>1</v>
      </c>
      <c r="N134">
        <f t="shared" si="6"/>
        <v>0.47685000000000005</v>
      </c>
      <c r="O134">
        <f t="shared" si="7"/>
        <v>2</v>
      </c>
    </row>
    <row r="135" spans="1:15" x14ac:dyDescent="0.3">
      <c r="A135" t="s">
        <v>42</v>
      </c>
      <c r="B135" t="s">
        <v>82</v>
      </c>
      <c r="C135" t="s">
        <v>143</v>
      </c>
      <c r="D135" t="s">
        <v>323</v>
      </c>
      <c r="E135" t="s">
        <v>487</v>
      </c>
      <c r="F135">
        <v>6.2</v>
      </c>
      <c r="G135">
        <v>1.54</v>
      </c>
      <c r="H135">
        <v>4.0999999999999996</v>
      </c>
      <c r="I135">
        <v>1.35</v>
      </c>
      <c r="J135" t="s">
        <v>564</v>
      </c>
      <c r="K135">
        <v>2</v>
      </c>
      <c r="L135">
        <v>10</v>
      </c>
      <c r="M135">
        <v>1</v>
      </c>
      <c r="N135">
        <f t="shared" si="6"/>
        <v>0.3272500000000001</v>
      </c>
      <c r="O135">
        <f t="shared" si="7"/>
        <v>12</v>
      </c>
    </row>
    <row r="136" spans="1:15" x14ac:dyDescent="0.3">
      <c r="A136" t="s">
        <v>43</v>
      </c>
      <c r="B136" t="s">
        <v>111</v>
      </c>
      <c r="C136" t="s">
        <v>174</v>
      </c>
      <c r="D136" t="s">
        <v>324</v>
      </c>
      <c r="E136" t="s">
        <v>488</v>
      </c>
      <c r="F136">
        <v>1.92</v>
      </c>
      <c r="G136">
        <v>4.5999999999999996</v>
      </c>
      <c r="H136">
        <v>3.3</v>
      </c>
      <c r="I136">
        <v>1.4</v>
      </c>
      <c r="J136" t="s">
        <v>564</v>
      </c>
      <c r="K136">
        <v>3</v>
      </c>
      <c r="L136">
        <v>0</v>
      </c>
      <c r="M136">
        <v>1</v>
      </c>
      <c r="N136">
        <f t="shared" si="6"/>
        <v>0.37399999999999994</v>
      </c>
      <c r="O136">
        <f t="shared" si="7"/>
        <v>3</v>
      </c>
    </row>
    <row r="137" spans="1:15" x14ac:dyDescent="0.3">
      <c r="A137" t="s">
        <v>44</v>
      </c>
      <c r="B137" t="s">
        <v>80</v>
      </c>
      <c r="C137" t="s">
        <v>127</v>
      </c>
      <c r="D137" t="s">
        <v>325</v>
      </c>
      <c r="E137" t="s">
        <v>236</v>
      </c>
      <c r="F137">
        <v>1.74</v>
      </c>
      <c r="G137">
        <v>5.6</v>
      </c>
      <c r="H137">
        <v>4</v>
      </c>
      <c r="I137">
        <v>0</v>
      </c>
      <c r="J137" t="s">
        <v>564</v>
      </c>
      <c r="K137">
        <v>2</v>
      </c>
      <c r="L137">
        <v>0</v>
      </c>
      <c r="M137">
        <v>1</v>
      </c>
      <c r="N137">
        <f t="shared" si="6"/>
        <v>-0.93500000000000005</v>
      </c>
      <c r="O137">
        <f t="shared" si="7"/>
        <v>2</v>
      </c>
    </row>
    <row r="138" spans="1:15" x14ac:dyDescent="0.3">
      <c r="A138" t="s">
        <v>44</v>
      </c>
      <c r="B138" t="s">
        <v>112</v>
      </c>
      <c r="C138" t="s">
        <v>196</v>
      </c>
      <c r="D138" t="s">
        <v>326</v>
      </c>
      <c r="E138" t="s">
        <v>489</v>
      </c>
      <c r="F138">
        <v>1.68</v>
      </c>
      <c r="G138">
        <v>5.9</v>
      </c>
      <c r="H138">
        <v>3.8</v>
      </c>
      <c r="I138">
        <v>1.43</v>
      </c>
      <c r="J138" t="s">
        <v>564</v>
      </c>
      <c r="K138">
        <v>4</v>
      </c>
      <c r="L138">
        <v>1</v>
      </c>
      <c r="M138">
        <v>1</v>
      </c>
      <c r="N138">
        <f t="shared" si="6"/>
        <v>0.40204999999999996</v>
      </c>
      <c r="O138">
        <f t="shared" si="7"/>
        <v>5</v>
      </c>
    </row>
    <row r="139" spans="1:15" x14ac:dyDescent="0.3">
      <c r="A139" t="s">
        <v>45</v>
      </c>
      <c r="B139" t="s">
        <v>78</v>
      </c>
      <c r="C139" t="s">
        <v>131</v>
      </c>
      <c r="D139" t="s">
        <v>227</v>
      </c>
      <c r="E139" t="s">
        <v>490</v>
      </c>
      <c r="F139">
        <v>1.91</v>
      </c>
      <c r="G139">
        <v>4.5</v>
      </c>
      <c r="H139">
        <v>3.3</v>
      </c>
      <c r="I139">
        <v>1.37</v>
      </c>
      <c r="J139" t="s">
        <v>564</v>
      </c>
      <c r="K139">
        <v>2</v>
      </c>
      <c r="L139">
        <v>2</v>
      </c>
      <c r="M139">
        <v>1</v>
      </c>
      <c r="N139">
        <f t="shared" si="6"/>
        <v>0.34595000000000015</v>
      </c>
      <c r="O139">
        <f t="shared" si="7"/>
        <v>4</v>
      </c>
    </row>
    <row r="140" spans="1:15" x14ac:dyDescent="0.3">
      <c r="A140" t="s">
        <v>45</v>
      </c>
      <c r="B140" t="s">
        <v>113</v>
      </c>
      <c r="C140" t="s">
        <v>197</v>
      </c>
      <c r="D140" t="s">
        <v>327</v>
      </c>
      <c r="E140" t="s">
        <v>491</v>
      </c>
      <c r="F140">
        <v>1.66</v>
      </c>
      <c r="G140">
        <v>5.9</v>
      </c>
      <c r="H140">
        <v>3.75</v>
      </c>
      <c r="I140">
        <v>1.42</v>
      </c>
      <c r="J140" t="s">
        <v>564</v>
      </c>
      <c r="K140">
        <v>0</v>
      </c>
      <c r="L140">
        <v>1</v>
      </c>
      <c r="M140">
        <v>0</v>
      </c>
      <c r="N140">
        <f t="shared" si="6"/>
        <v>-1</v>
      </c>
      <c r="O140">
        <f t="shared" si="7"/>
        <v>1</v>
      </c>
    </row>
    <row r="141" spans="1:15" x14ac:dyDescent="0.3">
      <c r="A141" t="s">
        <v>45</v>
      </c>
      <c r="B141" t="s">
        <v>104</v>
      </c>
      <c r="C141" t="s">
        <v>131</v>
      </c>
      <c r="D141" t="s">
        <v>328</v>
      </c>
      <c r="E141" t="s">
        <v>492</v>
      </c>
      <c r="F141">
        <v>1.97</v>
      </c>
      <c r="G141">
        <v>4.5</v>
      </c>
      <c r="H141">
        <v>2.96</v>
      </c>
      <c r="I141">
        <v>1.6</v>
      </c>
      <c r="J141" t="s">
        <v>564</v>
      </c>
      <c r="K141">
        <v>3</v>
      </c>
      <c r="L141">
        <v>1</v>
      </c>
      <c r="M141">
        <v>1</v>
      </c>
      <c r="N141">
        <f t="shared" si="6"/>
        <v>0.56100000000000017</v>
      </c>
      <c r="O141">
        <f t="shared" si="7"/>
        <v>4</v>
      </c>
    </row>
    <row r="142" spans="1:15" x14ac:dyDescent="0.3">
      <c r="A142" t="s">
        <v>45</v>
      </c>
      <c r="B142" t="s">
        <v>81</v>
      </c>
      <c r="C142" t="s">
        <v>131</v>
      </c>
      <c r="D142" t="s">
        <v>329</v>
      </c>
      <c r="E142" t="s">
        <v>493</v>
      </c>
      <c r="F142">
        <v>1.95</v>
      </c>
      <c r="G142">
        <v>4.5</v>
      </c>
      <c r="H142">
        <v>3.05</v>
      </c>
      <c r="I142">
        <v>1.57</v>
      </c>
      <c r="J142" t="s">
        <v>564</v>
      </c>
      <c r="K142">
        <v>2</v>
      </c>
      <c r="L142">
        <v>1</v>
      </c>
      <c r="M142">
        <v>1</v>
      </c>
      <c r="N142">
        <f t="shared" si="6"/>
        <v>0.53295000000000003</v>
      </c>
      <c r="O142">
        <f t="shared" si="7"/>
        <v>3</v>
      </c>
    </row>
    <row r="143" spans="1:15" x14ac:dyDescent="0.3">
      <c r="A143" t="s">
        <v>46</v>
      </c>
      <c r="B143" t="s">
        <v>87</v>
      </c>
      <c r="C143" t="s">
        <v>198</v>
      </c>
      <c r="D143" t="s">
        <v>330</v>
      </c>
      <c r="E143" t="s">
        <v>494</v>
      </c>
      <c r="F143">
        <v>1.86</v>
      </c>
      <c r="G143">
        <v>4.5</v>
      </c>
      <c r="H143">
        <v>3.2</v>
      </c>
      <c r="I143">
        <v>1.45</v>
      </c>
      <c r="J143" t="s">
        <v>564</v>
      </c>
      <c r="K143">
        <v>3</v>
      </c>
      <c r="L143">
        <v>0</v>
      </c>
      <c r="M143">
        <v>1</v>
      </c>
      <c r="N143">
        <f t="shared" si="6"/>
        <v>0.42074999999999996</v>
      </c>
      <c r="O143">
        <f t="shared" si="7"/>
        <v>3</v>
      </c>
    </row>
    <row r="144" spans="1:15" x14ac:dyDescent="0.3">
      <c r="A144" t="s">
        <v>47</v>
      </c>
      <c r="B144" t="s">
        <v>81</v>
      </c>
      <c r="C144" t="s">
        <v>131</v>
      </c>
      <c r="D144" t="s">
        <v>331</v>
      </c>
      <c r="E144" t="s">
        <v>495</v>
      </c>
      <c r="F144">
        <v>1.59</v>
      </c>
      <c r="G144">
        <v>6.4</v>
      </c>
      <c r="H144">
        <v>3.8</v>
      </c>
      <c r="I144">
        <v>1.43</v>
      </c>
      <c r="J144" t="s">
        <v>564</v>
      </c>
      <c r="K144">
        <v>2</v>
      </c>
      <c r="L144">
        <v>1</v>
      </c>
      <c r="M144">
        <v>1</v>
      </c>
      <c r="N144">
        <f t="shared" si="6"/>
        <v>0.40204999999999996</v>
      </c>
      <c r="O144">
        <f t="shared" si="7"/>
        <v>3</v>
      </c>
    </row>
    <row r="145" spans="1:15" x14ac:dyDescent="0.3">
      <c r="A145" t="s">
        <v>48</v>
      </c>
      <c r="B145" t="s">
        <v>80</v>
      </c>
      <c r="C145" t="s">
        <v>156</v>
      </c>
      <c r="D145" t="s">
        <v>332</v>
      </c>
      <c r="E145" t="s">
        <v>435</v>
      </c>
      <c r="F145">
        <v>1.56</v>
      </c>
      <c r="G145">
        <v>6.2</v>
      </c>
      <c r="H145">
        <v>4.3</v>
      </c>
      <c r="I145">
        <v>1.01</v>
      </c>
      <c r="J145" t="s">
        <v>564</v>
      </c>
      <c r="K145">
        <v>4</v>
      </c>
      <c r="L145">
        <v>1</v>
      </c>
      <c r="M145">
        <v>1</v>
      </c>
      <c r="N145">
        <f t="shared" si="6"/>
        <v>9.3500000000000093E-3</v>
      </c>
      <c r="O145">
        <f t="shared" si="7"/>
        <v>5</v>
      </c>
    </row>
    <row r="146" spans="1:15" x14ac:dyDescent="0.3">
      <c r="A146" t="s">
        <v>48</v>
      </c>
      <c r="B146" t="s">
        <v>80</v>
      </c>
      <c r="C146" t="s">
        <v>156</v>
      </c>
      <c r="D146" t="s">
        <v>333</v>
      </c>
      <c r="E146" t="s">
        <v>496</v>
      </c>
      <c r="F146">
        <v>5.6</v>
      </c>
      <c r="G146">
        <v>1.66</v>
      </c>
      <c r="H146">
        <v>4.0999999999999996</v>
      </c>
      <c r="I146">
        <v>1.01</v>
      </c>
      <c r="J146" t="s">
        <v>564</v>
      </c>
      <c r="K146">
        <v>0</v>
      </c>
      <c r="L146">
        <v>4</v>
      </c>
      <c r="M146">
        <v>1</v>
      </c>
      <c r="N146">
        <f t="shared" si="6"/>
        <v>9.3500000000000093E-3</v>
      </c>
      <c r="O146">
        <f t="shared" si="7"/>
        <v>4</v>
      </c>
    </row>
    <row r="147" spans="1:15" x14ac:dyDescent="0.3">
      <c r="A147" t="s">
        <v>49</v>
      </c>
      <c r="B147" t="s">
        <v>114</v>
      </c>
      <c r="C147" t="s">
        <v>189</v>
      </c>
      <c r="D147" t="s">
        <v>334</v>
      </c>
      <c r="E147" t="s">
        <v>497</v>
      </c>
      <c r="F147">
        <v>6.6</v>
      </c>
      <c r="G147">
        <v>1.49</v>
      </c>
      <c r="H147">
        <v>4.9000000000000004</v>
      </c>
      <c r="I147">
        <v>1.31</v>
      </c>
      <c r="J147" t="s">
        <v>564</v>
      </c>
      <c r="K147">
        <v>0</v>
      </c>
      <c r="L147">
        <v>3</v>
      </c>
      <c r="M147">
        <v>0</v>
      </c>
      <c r="N147">
        <f t="shared" si="6"/>
        <v>-1</v>
      </c>
      <c r="O147">
        <f t="shared" si="7"/>
        <v>3</v>
      </c>
    </row>
    <row r="148" spans="1:15" x14ac:dyDescent="0.3">
      <c r="A148" t="s">
        <v>49</v>
      </c>
      <c r="B148" t="s">
        <v>115</v>
      </c>
      <c r="C148" t="s">
        <v>199</v>
      </c>
      <c r="D148" t="s">
        <v>335</v>
      </c>
      <c r="E148" t="s">
        <v>498</v>
      </c>
      <c r="F148">
        <v>1.41</v>
      </c>
      <c r="G148">
        <v>8</v>
      </c>
      <c r="H148">
        <v>4.5999999999999996</v>
      </c>
      <c r="I148">
        <v>1.29</v>
      </c>
      <c r="J148" t="s">
        <v>564</v>
      </c>
      <c r="K148">
        <v>0</v>
      </c>
      <c r="L148">
        <v>0</v>
      </c>
      <c r="M148">
        <v>0</v>
      </c>
      <c r="N148">
        <f t="shared" si="6"/>
        <v>-1</v>
      </c>
      <c r="O148">
        <f t="shared" si="7"/>
        <v>0</v>
      </c>
    </row>
    <row r="149" spans="1:15" x14ac:dyDescent="0.3">
      <c r="A149" t="s">
        <v>49</v>
      </c>
      <c r="B149" t="s">
        <v>81</v>
      </c>
      <c r="C149" t="s">
        <v>131</v>
      </c>
      <c r="D149" t="s">
        <v>336</v>
      </c>
      <c r="E149" t="s">
        <v>499</v>
      </c>
      <c r="F149">
        <v>1.78</v>
      </c>
      <c r="G149">
        <v>5.0999999999999996</v>
      </c>
      <c r="H149">
        <v>3.4</v>
      </c>
      <c r="I149">
        <v>1.51</v>
      </c>
      <c r="J149" t="s">
        <v>564</v>
      </c>
      <c r="K149">
        <v>0</v>
      </c>
      <c r="L149">
        <v>2</v>
      </c>
      <c r="M149">
        <v>0</v>
      </c>
      <c r="N149">
        <f t="shared" si="6"/>
        <v>-1</v>
      </c>
      <c r="O149">
        <f t="shared" si="7"/>
        <v>2</v>
      </c>
    </row>
    <row r="150" spans="1:15" x14ac:dyDescent="0.3">
      <c r="A150" t="s">
        <v>50</v>
      </c>
      <c r="B150" t="s">
        <v>111</v>
      </c>
      <c r="C150" t="s">
        <v>200</v>
      </c>
      <c r="D150" t="s">
        <v>337</v>
      </c>
      <c r="E150" t="s">
        <v>500</v>
      </c>
      <c r="F150">
        <v>1.76</v>
      </c>
      <c r="G150">
        <v>5.0999999999999996</v>
      </c>
      <c r="H150">
        <v>3.75</v>
      </c>
      <c r="I150">
        <v>1.41</v>
      </c>
      <c r="J150" t="s">
        <v>564</v>
      </c>
      <c r="K150">
        <v>1</v>
      </c>
      <c r="L150">
        <v>1</v>
      </c>
      <c r="M150">
        <v>1</v>
      </c>
      <c r="N150">
        <f t="shared" si="6"/>
        <v>0.38334999999999997</v>
      </c>
      <c r="O150">
        <f t="shared" si="7"/>
        <v>2</v>
      </c>
    </row>
    <row r="151" spans="1:15" x14ac:dyDescent="0.3">
      <c r="A151" t="s">
        <v>51</v>
      </c>
      <c r="B151" t="s">
        <v>80</v>
      </c>
      <c r="C151" t="s">
        <v>146</v>
      </c>
      <c r="D151" t="s">
        <v>338</v>
      </c>
      <c r="E151" t="s">
        <v>501</v>
      </c>
      <c r="F151">
        <v>2.08</v>
      </c>
      <c r="G151">
        <v>4.7</v>
      </c>
      <c r="H151">
        <v>3.15</v>
      </c>
      <c r="I151">
        <v>1.57</v>
      </c>
      <c r="J151" t="s">
        <v>564</v>
      </c>
      <c r="K151">
        <v>1</v>
      </c>
      <c r="L151">
        <v>0</v>
      </c>
      <c r="M151">
        <v>1</v>
      </c>
      <c r="N151">
        <f t="shared" si="6"/>
        <v>0.53295000000000003</v>
      </c>
      <c r="O151">
        <f t="shared" si="7"/>
        <v>1</v>
      </c>
    </row>
    <row r="152" spans="1:15" x14ac:dyDescent="0.3">
      <c r="A152" t="s">
        <v>51</v>
      </c>
      <c r="B152" t="s">
        <v>85</v>
      </c>
      <c r="C152" t="s">
        <v>180</v>
      </c>
      <c r="D152" t="s">
        <v>299</v>
      </c>
      <c r="E152" t="s">
        <v>502</v>
      </c>
      <c r="F152">
        <v>1.83</v>
      </c>
      <c r="G152">
        <v>5.2</v>
      </c>
      <c r="H152">
        <v>3.7</v>
      </c>
      <c r="I152">
        <v>1.46</v>
      </c>
      <c r="J152" t="s">
        <v>564</v>
      </c>
      <c r="K152">
        <v>1</v>
      </c>
      <c r="L152">
        <v>2</v>
      </c>
      <c r="M152">
        <v>1</v>
      </c>
      <c r="N152">
        <f t="shared" si="6"/>
        <v>0.43009999999999998</v>
      </c>
      <c r="O152">
        <f t="shared" si="7"/>
        <v>3</v>
      </c>
    </row>
    <row r="153" spans="1:15" x14ac:dyDescent="0.3">
      <c r="A153" t="s">
        <v>52</v>
      </c>
      <c r="B153" t="s">
        <v>77</v>
      </c>
      <c r="C153" t="s">
        <v>129</v>
      </c>
      <c r="D153" t="s">
        <v>339</v>
      </c>
      <c r="E153" t="s">
        <v>503</v>
      </c>
      <c r="F153">
        <v>1.8</v>
      </c>
      <c r="G153">
        <v>5.2</v>
      </c>
      <c r="H153">
        <v>3.2</v>
      </c>
      <c r="I153">
        <v>1.52</v>
      </c>
      <c r="J153" t="s">
        <v>564</v>
      </c>
      <c r="K153">
        <v>2</v>
      </c>
      <c r="L153">
        <v>0</v>
      </c>
      <c r="M153">
        <v>1</v>
      </c>
      <c r="N153">
        <f t="shared" si="6"/>
        <v>0.48620000000000002</v>
      </c>
      <c r="O153">
        <f t="shared" si="7"/>
        <v>2</v>
      </c>
    </row>
    <row r="154" spans="1:15" x14ac:dyDescent="0.3">
      <c r="A154" t="s">
        <v>52</v>
      </c>
      <c r="B154" t="s">
        <v>76</v>
      </c>
      <c r="C154" t="s">
        <v>141</v>
      </c>
      <c r="D154" t="s">
        <v>261</v>
      </c>
      <c r="E154" t="s">
        <v>504</v>
      </c>
      <c r="F154">
        <v>1.96</v>
      </c>
      <c r="G154">
        <v>4.9000000000000004</v>
      </c>
      <c r="H154">
        <v>3.35</v>
      </c>
      <c r="I154">
        <v>1.53</v>
      </c>
      <c r="J154" t="s">
        <v>564</v>
      </c>
      <c r="K154">
        <v>2</v>
      </c>
      <c r="L154">
        <v>1</v>
      </c>
      <c r="M154">
        <v>1</v>
      </c>
      <c r="N154">
        <f t="shared" si="6"/>
        <v>0.49555000000000005</v>
      </c>
      <c r="O154">
        <f t="shared" si="7"/>
        <v>3</v>
      </c>
    </row>
    <row r="155" spans="1:15" x14ac:dyDescent="0.3">
      <c r="A155" t="s">
        <v>52</v>
      </c>
      <c r="B155" t="s">
        <v>76</v>
      </c>
      <c r="C155" t="s">
        <v>132</v>
      </c>
      <c r="D155" t="s">
        <v>321</v>
      </c>
      <c r="E155" t="s">
        <v>505</v>
      </c>
      <c r="F155">
        <v>1.93</v>
      </c>
      <c r="G155">
        <v>4.9000000000000004</v>
      </c>
      <c r="H155">
        <v>3.5</v>
      </c>
      <c r="I155">
        <v>1.5</v>
      </c>
      <c r="J155" t="s">
        <v>564</v>
      </c>
      <c r="K155">
        <v>1</v>
      </c>
      <c r="L155">
        <v>2</v>
      </c>
      <c r="M155">
        <v>1</v>
      </c>
      <c r="N155">
        <f t="shared" si="6"/>
        <v>0.46750000000000003</v>
      </c>
      <c r="O155">
        <f t="shared" si="7"/>
        <v>3</v>
      </c>
    </row>
    <row r="156" spans="1:15" x14ac:dyDescent="0.3">
      <c r="A156" t="s">
        <v>53</v>
      </c>
      <c r="B156" t="s">
        <v>74</v>
      </c>
      <c r="C156" t="s">
        <v>146</v>
      </c>
      <c r="D156" t="s">
        <v>340</v>
      </c>
      <c r="E156" t="s">
        <v>506</v>
      </c>
      <c r="F156">
        <v>1.97</v>
      </c>
      <c r="G156">
        <v>5</v>
      </c>
      <c r="H156">
        <v>3.3</v>
      </c>
      <c r="I156">
        <v>1.54</v>
      </c>
      <c r="J156" t="s">
        <v>564</v>
      </c>
      <c r="K156">
        <v>1</v>
      </c>
      <c r="L156">
        <v>0</v>
      </c>
      <c r="M156">
        <v>1</v>
      </c>
      <c r="N156">
        <f t="shared" si="6"/>
        <v>0.50490000000000002</v>
      </c>
      <c r="O156">
        <f t="shared" si="7"/>
        <v>1</v>
      </c>
    </row>
    <row r="157" spans="1:15" x14ac:dyDescent="0.3">
      <c r="A157" t="s">
        <v>54</v>
      </c>
      <c r="B157" t="s">
        <v>85</v>
      </c>
      <c r="C157" t="s">
        <v>134</v>
      </c>
      <c r="D157" t="s">
        <v>341</v>
      </c>
      <c r="E157" t="s">
        <v>507</v>
      </c>
      <c r="F157">
        <v>1.72</v>
      </c>
      <c r="G157">
        <v>5.5</v>
      </c>
      <c r="H157">
        <v>4.0999999999999996</v>
      </c>
      <c r="I157">
        <v>1.42</v>
      </c>
      <c r="J157" t="s">
        <v>564</v>
      </c>
      <c r="K157">
        <v>3</v>
      </c>
      <c r="L157">
        <v>0</v>
      </c>
      <c r="M157">
        <v>1</v>
      </c>
      <c r="N157">
        <f t="shared" si="6"/>
        <v>0.39269999999999994</v>
      </c>
      <c r="O157">
        <f t="shared" si="7"/>
        <v>3</v>
      </c>
    </row>
    <row r="158" spans="1:15" x14ac:dyDescent="0.3">
      <c r="A158" t="s">
        <v>55</v>
      </c>
      <c r="B158" t="s">
        <v>116</v>
      </c>
      <c r="C158" t="s">
        <v>201</v>
      </c>
      <c r="D158" t="s">
        <v>342</v>
      </c>
      <c r="E158" t="s">
        <v>508</v>
      </c>
      <c r="F158">
        <v>6.8</v>
      </c>
      <c r="G158">
        <v>1.37</v>
      </c>
      <c r="H158">
        <v>4.4000000000000004</v>
      </c>
      <c r="I158">
        <v>1.22</v>
      </c>
      <c r="J158" t="s">
        <v>564</v>
      </c>
      <c r="K158">
        <v>0</v>
      </c>
      <c r="L158">
        <v>2</v>
      </c>
      <c r="M158">
        <v>1</v>
      </c>
      <c r="N158">
        <f t="shared" si="6"/>
        <v>0.20569999999999999</v>
      </c>
      <c r="O158">
        <f t="shared" si="7"/>
        <v>2</v>
      </c>
    </row>
    <row r="159" spans="1:15" x14ac:dyDescent="0.3">
      <c r="A159" t="s">
        <v>56</v>
      </c>
      <c r="B159" t="s">
        <v>74</v>
      </c>
      <c r="C159" t="s">
        <v>166</v>
      </c>
      <c r="D159" t="s">
        <v>275</v>
      </c>
      <c r="E159" t="s">
        <v>509</v>
      </c>
      <c r="F159">
        <v>6</v>
      </c>
      <c r="G159">
        <v>1.62</v>
      </c>
      <c r="H159">
        <v>4.3</v>
      </c>
      <c r="I159">
        <v>1.39</v>
      </c>
      <c r="J159" t="s">
        <v>564</v>
      </c>
      <c r="K159">
        <v>2</v>
      </c>
      <c r="L159">
        <v>3</v>
      </c>
      <c r="M159">
        <v>1</v>
      </c>
      <c r="N159">
        <f t="shared" si="6"/>
        <v>0.36464999999999992</v>
      </c>
      <c r="O159">
        <f t="shared" si="7"/>
        <v>5</v>
      </c>
    </row>
    <row r="160" spans="1:15" x14ac:dyDescent="0.3">
      <c r="A160" t="s">
        <v>15</v>
      </c>
      <c r="B160" t="s">
        <v>74</v>
      </c>
      <c r="C160" t="s">
        <v>127</v>
      </c>
      <c r="D160" t="s">
        <v>223</v>
      </c>
      <c r="E160" t="s">
        <v>399</v>
      </c>
      <c r="F160">
        <v>1.54</v>
      </c>
      <c r="G160">
        <v>7</v>
      </c>
      <c r="H160">
        <v>4.7</v>
      </c>
      <c r="I160">
        <v>1.35</v>
      </c>
      <c r="J160" t="s">
        <v>564</v>
      </c>
      <c r="K160">
        <v>0</v>
      </c>
      <c r="L160">
        <v>0</v>
      </c>
      <c r="M160">
        <v>0</v>
      </c>
      <c r="N160">
        <f t="shared" si="6"/>
        <v>-1</v>
      </c>
      <c r="O160">
        <f t="shared" si="7"/>
        <v>0</v>
      </c>
    </row>
    <row r="161" spans="1:15" x14ac:dyDescent="0.3">
      <c r="A161" t="s">
        <v>16</v>
      </c>
      <c r="B161" t="s">
        <v>75</v>
      </c>
      <c r="C161" t="s">
        <v>128</v>
      </c>
      <c r="D161" t="s">
        <v>224</v>
      </c>
      <c r="E161" t="s">
        <v>400</v>
      </c>
      <c r="F161">
        <v>1.86</v>
      </c>
      <c r="G161">
        <v>4.9000000000000004</v>
      </c>
      <c r="H161">
        <v>3.55</v>
      </c>
      <c r="I161">
        <v>1.5</v>
      </c>
      <c r="J161" t="s">
        <v>564</v>
      </c>
      <c r="K161">
        <v>1</v>
      </c>
      <c r="L161">
        <v>1</v>
      </c>
      <c r="M161">
        <v>1</v>
      </c>
      <c r="N161">
        <f t="shared" si="6"/>
        <v>0.46750000000000003</v>
      </c>
      <c r="O161">
        <f t="shared" si="7"/>
        <v>2</v>
      </c>
    </row>
    <row r="162" spans="1:15" x14ac:dyDescent="0.3">
      <c r="A162" t="s">
        <v>16</v>
      </c>
      <c r="B162" t="s">
        <v>76</v>
      </c>
      <c r="C162" t="s">
        <v>129</v>
      </c>
      <c r="D162" t="s">
        <v>225</v>
      </c>
      <c r="E162" t="s">
        <v>401</v>
      </c>
      <c r="F162">
        <v>1.87</v>
      </c>
      <c r="G162">
        <v>4.4000000000000004</v>
      </c>
      <c r="H162">
        <v>2.9</v>
      </c>
      <c r="I162">
        <v>1.59</v>
      </c>
      <c r="J162" t="s">
        <v>564</v>
      </c>
      <c r="K162">
        <v>0</v>
      </c>
      <c r="L162">
        <v>1</v>
      </c>
      <c r="M162">
        <v>1</v>
      </c>
      <c r="N162">
        <f t="shared" si="6"/>
        <v>0.55165000000000008</v>
      </c>
      <c r="O162">
        <f t="shared" si="7"/>
        <v>1</v>
      </c>
    </row>
    <row r="163" spans="1:15" x14ac:dyDescent="0.3">
      <c r="A163" t="s">
        <v>17</v>
      </c>
      <c r="B163" t="s">
        <v>77</v>
      </c>
      <c r="C163" t="s">
        <v>130</v>
      </c>
      <c r="D163" t="s">
        <v>226</v>
      </c>
      <c r="E163" t="s">
        <v>402</v>
      </c>
      <c r="F163">
        <v>4.4000000000000004</v>
      </c>
      <c r="G163">
        <v>2.06</v>
      </c>
      <c r="H163">
        <v>2.94</v>
      </c>
      <c r="I163">
        <v>1.63</v>
      </c>
      <c r="J163" t="s">
        <v>564</v>
      </c>
      <c r="K163">
        <v>0</v>
      </c>
      <c r="L163">
        <v>2</v>
      </c>
      <c r="M163">
        <v>0</v>
      </c>
      <c r="N163">
        <f t="shared" si="6"/>
        <v>-1</v>
      </c>
      <c r="O163">
        <f t="shared" si="7"/>
        <v>2</v>
      </c>
    </row>
    <row r="164" spans="1:15" x14ac:dyDescent="0.3">
      <c r="A164" t="s">
        <v>17</v>
      </c>
      <c r="B164" t="s">
        <v>78</v>
      </c>
      <c r="C164" t="s">
        <v>131</v>
      </c>
      <c r="D164" t="s">
        <v>227</v>
      </c>
      <c r="E164" t="s">
        <v>403</v>
      </c>
      <c r="F164">
        <v>1.82</v>
      </c>
      <c r="G164">
        <v>4.9000000000000004</v>
      </c>
      <c r="H164">
        <v>3.3</v>
      </c>
      <c r="I164">
        <v>1.5</v>
      </c>
      <c r="J164" t="s">
        <v>564</v>
      </c>
      <c r="K164">
        <v>4</v>
      </c>
      <c r="L164">
        <v>1</v>
      </c>
      <c r="M164">
        <v>1</v>
      </c>
      <c r="N164">
        <f t="shared" si="6"/>
        <v>0.46750000000000003</v>
      </c>
      <c r="O164">
        <f t="shared" si="7"/>
        <v>5</v>
      </c>
    </row>
    <row r="165" spans="1:15" x14ac:dyDescent="0.3">
      <c r="A165" t="s">
        <v>17</v>
      </c>
      <c r="B165" t="s">
        <v>76</v>
      </c>
      <c r="C165" t="s">
        <v>132</v>
      </c>
      <c r="D165" t="s">
        <v>228</v>
      </c>
      <c r="E165" t="s">
        <v>404</v>
      </c>
      <c r="F165">
        <v>2.06</v>
      </c>
      <c r="G165">
        <v>4.9000000000000004</v>
      </c>
      <c r="H165">
        <v>3.2</v>
      </c>
      <c r="I165">
        <v>1.6</v>
      </c>
      <c r="J165" t="s">
        <v>564</v>
      </c>
      <c r="K165">
        <v>1</v>
      </c>
      <c r="L165">
        <v>1</v>
      </c>
      <c r="M165">
        <v>1</v>
      </c>
      <c r="N165">
        <f t="shared" si="6"/>
        <v>0.56100000000000017</v>
      </c>
      <c r="O165">
        <f t="shared" si="7"/>
        <v>2</v>
      </c>
    </row>
    <row r="166" spans="1:15" x14ac:dyDescent="0.3">
      <c r="A166" t="s">
        <v>18</v>
      </c>
      <c r="B166" t="s">
        <v>79</v>
      </c>
      <c r="C166" t="s">
        <v>133</v>
      </c>
      <c r="D166" t="s">
        <v>229</v>
      </c>
      <c r="E166" t="s">
        <v>405</v>
      </c>
      <c r="F166">
        <v>1.92</v>
      </c>
      <c r="G166">
        <v>4.5999999999999996</v>
      </c>
      <c r="H166">
        <v>3.2</v>
      </c>
      <c r="I166">
        <v>1.55</v>
      </c>
      <c r="J166" t="s">
        <v>564</v>
      </c>
      <c r="K166">
        <v>0</v>
      </c>
      <c r="L166">
        <v>1</v>
      </c>
      <c r="M166">
        <v>1</v>
      </c>
      <c r="N166">
        <f t="shared" si="6"/>
        <v>0.5142500000000001</v>
      </c>
      <c r="O166">
        <f t="shared" si="7"/>
        <v>1</v>
      </c>
    </row>
    <row r="167" spans="1:15" x14ac:dyDescent="0.3">
      <c r="A167" t="s">
        <v>18</v>
      </c>
      <c r="B167" t="s">
        <v>80</v>
      </c>
      <c r="C167" t="s">
        <v>134</v>
      </c>
      <c r="D167" t="s">
        <v>230</v>
      </c>
      <c r="E167" t="s">
        <v>406</v>
      </c>
      <c r="F167">
        <v>1.78</v>
      </c>
      <c r="G167">
        <v>5.7</v>
      </c>
      <c r="H167">
        <v>3.65</v>
      </c>
      <c r="I167">
        <v>1.46</v>
      </c>
      <c r="J167" t="s">
        <v>564</v>
      </c>
      <c r="K167">
        <v>2</v>
      </c>
      <c r="L167">
        <v>2</v>
      </c>
      <c r="M167">
        <v>1</v>
      </c>
      <c r="N167">
        <f t="shared" si="6"/>
        <v>0.43009999999999998</v>
      </c>
      <c r="O167">
        <f t="shared" si="7"/>
        <v>4</v>
      </c>
    </row>
    <row r="168" spans="1:15" x14ac:dyDescent="0.3">
      <c r="A168" t="s">
        <v>18</v>
      </c>
      <c r="B168" t="s">
        <v>80</v>
      </c>
      <c r="C168" t="s">
        <v>134</v>
      </c>
      <c r="D168" t="s">
        <v>231</v>
      </c>
      <c r="E168" t="s">
        <v>407</v>
      </c>
      <c r="F168">
        <v>1.67</v>
      </c>
      <c r="G168">
        <v>5.7</v>
      </c>
      <c r="H168">
        <v>4</v>
      </c>
      <c r="I168">
        <v>1.42</v>
      </c>
      <c r="J168" t="s">
        <v>564</v>
      </c>
      <c r="K168">
        <v>1</v>
      </c>
      <c r="L168">
        <v>0</v>
      </c>
      <c r="M168">
        <v>1</v>
      </c>
      <c r="N168">
        <f t="shared" si="6"/>
        <v>0.39269999999999994</v>
      </c>
      <c r="O168">
        <f t="shared" si="7"/>
        <v>1</v>
      </c>
    </row>
    <row r="169" spans="1:15" x14ac:dyDescent="0.3">
      <c r="A169" t="s">
        <v>18</v>
      </c>
      <c r="B169" t="s">
        <v>81</v>
      </c>
      <c r="C169" t="s">
        <v>131</v>
      </c>
      <c r="D169" t="s">
        <v>232</v>
      </c>
      <c r="E169" t="s">
        <v>408</v>
      </c>
      <c r="F169">
        <v>1.8</v>
      </c>
      <c r="G169">
        <v>5.2</v>
      </c>
      <c r="H169">
        <v>3.4</v>
      </c>
      <c r="I169">
        <v>1.5</v>
      </c>
      <c r="J169" t="s">
        <v>564</v>
      </c>
      <c r="K169">
        <v>2</v>
      </c>
      <c r="L169">
        <v>1</v>
      </c>
      <c r="M169">
        <v>1</v>
      </c>
      <c r="N169">
        <f t="shared" si="6"/>
        <v>0.46750000000000003</v>
      </c>
      <c r="O169">
        <f t="shared" si="7"/>
        <v>3</v>
      </c>
    </row>
    <row r="170" spans="1:15" x14ac:dyDescent="0.3">
      <c r="A170" t="s">
        <v>18</v>
      </c>
      <c r="B170" t="s">
        <v>82</v>
      </c>
      <c r="C170" t="s">
        <v>135</v>
      </c>
      <c r="D170" t="s">
        <v>233</v>
      </c>
      <c r="E170" t="s">
        <v>380</v>
      </c>
      <c r="F170">
        <v>1.78</v>
      </c>
      <c r="G170">
        <v>5.6</v>
      </c>
      <c r="H170">
        <v>3.65</v>
      </c>
      <c r="I170">
        <v>1.46</v>
      </c>
      <c r="J170" t="s">
        <v>564</v>
      </c>
      <c r="K170">
        <v>2</v>
      </c>
      <c r="L170">
        <v>2</v>
      </c>
      <c r="M170">
        <v>1</v>
      </c>
      <c r="N170">
        <f t="shared" si="6"/>
        <v>0.43009999999999998</v>
      </c>
      <c r="O170">
        <f t="shared" si="7"/>
        <v>4</v>
      </c>
    </row>
    <row r="171" spans="1:15" x14ac:dyDescent="0.3">
      <c r="A171" t="s">
        <v>19</v>
      </c>
      <c r="B171" t="s">
        <v>83</v>
      </c>
      <c r="C171" t="s">
        <v>136</v>
      </c>
      <c r="D171" t="s">
        <v>234</v>
      </c>
      <c r="E171" t="s">
        <v>409</v>
      </c>
      <c r="F171">
        <v>1.91</v>
      </c>
      <c r="G171">
        <v>5</v>
      </c>
      <c r="H171">
        <v>3.3</v>
      </c>
      <c r="I171">
        <v>1.56</v>
      </c>
      <c r="J171" t="s">
        <v>564</v>
      </c>
      <c r="K171">
        <v>5</v>
      </c>
      <c r="L171">
        <v>1</v>
      </c>
      <c r="M171">
        <v>1</v>
      </c>
      <c r="N171">
        <f t="shared" si="6"/>
        <v>0.52360000000000007</v>
      </c>
      <c r="O171">
        <f t="shared" si="7"/>
        <v>6</v>
      </c>
    </row>
    <row r="172" spans="1:15" x14ac:dyDescent="0.3">
      <c r="A172" t="s">
        <v>19</v>
      </c>
      <c r="B172" t="s">
        <v>84</v>
      </c>
      <c r="C172" t="s">
        <v>128</v>
      </c>
      <c r="D172" t="s">
        <v>224</v>
      </c>
      <c r="E172" t="s">
        <v>410</v>
      </c>
      <c r="F172">
        <v>5.3</v>
      </c>
      <c r="G172">
        <v>1.76</v>
      </c>
      <c r="H172">
        <v>3.8</v>
      </c>
      <c r="I172">
        <v>1.44</v>
      </c>
      <c r="J172" t="s">
        <v>564</v>
      </c>
      <c r="K172">
        <v>0</v>
      </c>
      <c r="L172">
        <v>4</v>
      </c>
      <c r="M172">
        <v>1</v>
      </c>
      <c r="N172">
        <f t="shared" si="6"/>
        <v>0.41139999999999999</v>
      </c>
      <c r="O172">
        <f t="shared" si="7"/>
        <v>4</v>
      </c>
    </row>
    <row r="173" spans="1:15" x14ac:dyDescent="0.3">
      <c r="A173" t="s">
        <v>19</v>
      </c>
      <c r="B173" t="s">
        <v>85</v>
      </c>
      <c r="C173" t="s">
        <v>132</v>
      </c>
      <c r="D173" t="s">
        <v>235</v>
      </c>
      <c r="E173" t="s">
        <v>298</v>
      </c>
      <c r="F173">
        <v>5.9</v>
      </c>
      <c r="G173">
        <v>1.75</v>
      </c>
      <c r="H173">
        <v>3.85</v>
      </c>
      <c r="I173">
        <v>1.44</v>
      </c>
      <c r="J173" t="s">
        <v>564</v>
      </c>
      <c r="K173">
        <v>0</v>
      </c>
      <c r="L173">
        <v>3</v>
      </c>
      <c r="M173">
        <v>1</v>
      </c>
      <c r="N173">
        <f t="shared" si="6"/>
        <v>0.41139999999999999</v>
      </c>
      <c r="O173">
        <f t="shared" si="7"/>
        <v>3</v>
      </c>
    </row>
    <row r="174" spans="1:15" x14ac:dyDescent="0.3">
      <c r="A174" t="s">
        <v>20</v>
      </c>
      <c r="B174" t="s">
        <v>81</v>
      </c>
      <c r="C174" t="s">
        <v>127</v>
      </c>
      <c r="D174" t="s">
        <v>236</v>
      </c>
      <c r="E174" t="s">
        <v>411</v>
      </c>
      <c r="F174">
        <v>1.86</v>
      </c>
      <c r="G174">
        <v>5.2</v>
      </c>
      <c r="H174">
        <v>3.65</v>
      </c>
      <c r="I174">
        <v>1.48</v>
      </c>
      <c r="J174" t="s">
        <v>564</v>
      </c>
      <c r="K174">
        <v>1</v>
      </c>
      <c r="L174">
        <v>1</v>
      </c>
      <c r="M174">
        <v>1</v>
      </c>
      <c r="N174">
        <f t="shared" si="6"/>
        <v>0.44880000000000003</v>
      </c>
      <c r="O174">
        <f t="shared" si="7"/>
        <v>2</v>
      </c>
    </row>
    <row r="175" spans="1:15" x14ac:dyDescent="0.3">
      <c r="A175" t="s">
        <v>20</v>
      </c>
      <c r="B175" t="s">
        <v>86</v>
      </c>
      <c r="C175" t="s">
        <v>137</v>
      </c>
      <c r="D175" t="s">
        <v>237</v>
      </c>
      <c r="E175" t="s">
        <v>412</v>
      </c>
      <c r="F175">
        <v>1.83</v>
      </c>
      <c r="G175">
        <v>4.7</v>
      </c>
      <c r="H175">
        <v>3.1</v>
      </c>
      <c r="I175">
        <v>1.51</v>
      </c>
      <c r="J175" t="s">
        <v>564</v>
      </c>
      <c r="K175">
        <v>2</v>
      </c>
      <c r="L175">
        <v>1</v>
      </c>
      <c r="M175">
        <v>1</v>
      </c>
      <c r="N175">
        <f t="shared" si="6"/>
        <v>0.47685000000000005</v>
      </c>
      <c r="O175">
        <f t="shared" si="7"/>
        <v>3</v>
      </c>
    </row>
    <row r="176" spans="1:15" x14ac:dyDescent="0.3">
      <c r="A176" t="s">
        <v>21</v>
      </c>
      <c r="B176" t="s">
        <v>76</v>
      </c>
      <c r="C176" t="s">
        <v>132</v>
      </c>
      <c r="D176" t="s">
        <v>238</v>
      </c>
      <c r="E176" t="s">
        <v>404</v>
      </c>
      <c r="F176">
        <v>1.96</v>
      </c>
      <c r="G176">
        <v>5</v>
      </c>
      <c r="H176">
        <v>3.4</v>
      </c>
      <c r="I176">
        <v>1.53</v>
      </c>
      <c r="J176" t="s">
        <v>564</v>
      </c>
      <c r="K176">
        <v>2</v>
      </c>
      <c r="L176">
        <v>2</v>
      </c>
      <c r="M176">
        <v>1</v>
      </c>
      <c r="N176">
        <f t="shared" si="6"/>
        <v>0.49555000000000005</v>
      </c>
      <c r="O176">
        <f t="shared" si="7"/>
        <v>4</v>
      </c>
    </row>
    <row r="177" spans="1:15" x14ac:dyDescent="0.3">
      <c r="A177" t="s">
        <v>21</v>
      </c>
      <c r="B177" t="s">
        <v>87</v>
      </c>
      <c r="C177" t="s">
        <v>138</v>
      </c>
      <c r="D177" t="s">
        <v>239</v>
      </c>
      <c r="E177" t="s">
        <v>413</v>
      </c>
      <c r="F177">
        <v>3.65</v>
      </c>
      <c r="G177">
        <v>2.2000000000000002</v>
      </c>
      <c r="H177">
        <v>3.3</v>
      </c>
      <c r="I177">
        <v>1.51</v>
      </c>
      <c r="J177" t="s">
        <v>564</v>
      </c>
      <c r="K177">
        <v>0</v>
      </c>
      <c r="L177">
        <v>2</v>
      </c>
      <c r="M177">
        <v>1</v>
      </c>
      <c r="N177">
        <f t="shared" si="6"/>
        <v>0.47685000000000005</v>
      </c>
      <c r="O177">
        <f t="shared" si="7"/>
        <v>2</v>
      </c>
    </row>
    <row r="178" spans="1:15" x14ac:dyDescent="0.3">
      <c r="A178" t="s">
        <v>21</v>
      </c>
      <c r="B178" t="s">
        <v>80</v>
      </c>
      <c r="C178" t="s">
        <v>139</v>
      </c>
      <c r="D178" t="s">
        <v>240</v>
      </c>
      <c r="E178" t="s">
        <v>414</v>
      </c>
      <c r="F178">
        <v>1.66</v>
      </c>
      <c r="G178">
        <v>5.9</v>
      </c>
      <c r="H178">
        <v>3.9</v>
      </c>
      <c r="I178">
        <v>1.4</v>
      </c>
      <c r="J178" t="s">
        <v>564</v>
      </c>
      <c r="K178">
        <v>1</v>
      </c>
      <c r="L178">
        <v>1</v>
      </c>
      <c r="M178">
        <v>1</v>
      </c>
      <c r="N178">
        <f t="shared" si="6"/>
        <v>0.37399999999999994</v>
      </c>
      <c r="O178">
        <f t="shared" si="7"/>
        <v>2</v>
      </c>
    </row>
    <row r="179" spans="1:15" x14ac:dyDescent="0.3">
      <c r="A179" t="s">
        <v>21</v>
      </c>
      <c r="B179" t="s">
        <v>80</v>
      </c>
      <c r="C179" t="s">
        <v>140</v>
      </c>
      <c r="D179" t="s">
        <v>241</v>
      </c>
      <c r="E179" t="s">
        <v>415</v>
      </c>
      <c r="F179">
        <v>1.86</v>
      </c>
      <c r="G179">
        <v>4.2</v>
      </c>
      <c r="H179">
        <v>3.55</v>
      </c>
      <c r="I179">
        <v>1.45</v>
      </c>
      <c r="J179" t="s">
        <v>564</v>
      </c>
      <c r="K179">
        <v>5</v>
      </c>
      <c r="L179">
        <v>0</v>
      </c>
      <c r="M179">
        <v>1</v>
      </c>
      <c r="N179">
        <f t="shared" si="6"/>
        <v>0.42074999999999996</v>
      </c>
      <c r="O179">
        <f t="shared" si="7"/>
        <v>5</v>
      </c>
    </row>
    <row r="180" spans="1:15" x14ac:dyDescent="0.3">
      <c r="A180" t="s">
        <v>21</v>
      </c>
      <c r="B180" t="s">
        <v>88</v>
      </c>
      <c r="C180" t="s">
        <v>141</v>
      </c>
      <c r="D180" t="s">
        <v>242</v>
      </c>
      <c r="E180" t="s">
        <v>416</v>
      </c>
      <c r="F180">
        <v>1.68</v>
      </c>
      <c r="G180">
        <v>6.4</v>
      </c>
      <c r="H180">
        <v>3.95</v>
      </c>
      <c r="I180">
        <v>1.43</v>
      </c>
      <c r="J180" t="s">
        <v>564</v>
      </c>
      <c r="K180">
        <v>2</v>
      </c>
      <c r="L180">
        <v>2</v>
      </c>
      <c r="M180">
        <v>1</v>
      </c>
      <c r="N180">
        <f t="shared" si="6"/>
        <v>0.40204999999999996</v>
      </c>
      <c r="O180">
        <f t="shared" si="7"/>
        <v>4</v>
      </c>
    </row>
    <row r="181" spans="1:15" x14ac:dyDescent="0.3">
      <c r="A181" t="s">
        <v>22</v>
      </c>
      <c r="B181" t="s">
        <v>89</v>
      </c>
      <c r="C181" t="s">
        <v>142</v>
      </c>
      <c r="D181" t="s">
        <v>243</v>
      </c>
      <c r="E181" t="s">
        <v>399</v>
      </c>
      <c r="F181">
        <v>5.4</v>
      </c>
      <c r="G181">
        <v>1.77</v>
      </c>
      <c r="H181">
        <v>3.9</v>
      </c>
      <c r="I181">
        <v>1.43</v>
      </c>
      <c r="J181" t="s">
        <v>564</v>
      </c>
      <c r="K181">
        <v>1</v>
      </c>
      <c r="L181">
        <v>3</v>
      </c>
      <c r="M181">
        <v>1</v>
      </c>
      <c r="N181">
        <f t="shared" si="6"/>
        <v>0.40204999999999996</v>
      </c>
      <c r="O181">
        <f t="shared" si="7"/>
        <v>4</v>
      </c>
    </row>
    <row r="182" spans="1:15" x14ac:dyDescent="0.3">
      <c r="A182" t="s">
        <v>22</v>
      </c>
      <c r="B182" t="s">
        <v>77</v>
      </c>
      <c r="C182" t="s">
        <v>138</v>
      </c>
      <c r="D182" t="s">
        <v>244</v>
      </c>
      <c r="E182" t="s">
        <v>417</v>
      </c>
      <c r="F182">
        <v>7.6</v>
      </c>
      <c r="G182">
        <v>1.52</v>
      </c>
      <c r="H182">
        <v>4.5</v>
      </c>
      <c r="I182">
        <v>1.34</v>
      </c>
      <c r="J182" t="s">
        <v>564</v>
      </c>
      <c r="K182">
        <v>0</v>
      </c>
      <c r="L182">
        <v>3</v>
      </c>
      <c r="M182">
        <v>1</v>
      </c>
      <c r="N182">
        <f t="shared" si="6"/>
        <v>0.31790000000000007</v>
      </c>
      <c r="O182">
        <f t="shared" si="7"/>
        <v>3</v>
      </c>
    </row>
    <row r="183" spans="1:15" x14ac:dyDescent="0.3">
      <c r="A183" t="s">
        <v>22</v>
      </c>
      <c r="B183" t="s">
        <v>85</v>
      </c>
      <c r="C183" t="s">
        <v>132</v>
      </c>
      <c r="D183" t="s">
        <v>245</v>
      </c>
      <c r="E183" t="s">
        <v>418</v>
      </c>
      <c r="F183">
        <v>1.82</v>
      </c>
      <c r="G183">
        <v>5.6</v>
      </c>
      <c r="H183">
        <v>3.6</v>
      </c>
      <c r="I183">
        <v>1.51</v>
      </c>
      <c r="J183" t="s">
        <v>564</v>
      </c>
      <c r="K183">
        <v>2</v>
      </c>
      <c r="L183">
        <v>2</v>
      </c>
      <c r="M183">
        <v>1</v>
      </c>
      <c r="N183">
        <f t="shared" si="6"/>
        <v>0.47685000000000005</v>
      </c>
      <c r="O183">
        <f t="shared" si="7"/>
        <v>4</v>
      </c>
    </row>
    <row r="184" spans="1:15" x14ac:dyDescent="0.3">
      <c r="A184" t="s">
        <v>22</v>
      </c>
      <c r="B184" t="s">
        <v>82</v>
      </c>
      <c r="C184" t="s">
        <v>143</v>
      </c>
      <c r="D184" t="s">
        <v>246</v>
      </c>
      <c r="E184" t="s">
        <v>419</v>
      </c>
      <c r="F184">
        <v>2.08</v>
      </c>
      <c r="G184">
        <v>4.3</v>
      </c>
      <c r="H184">
        <v>2.74</v>
      </c>
      <c r="I184">
        <v>1.72</v>
      </c>
      <c r="J184" t="s">
        <v>564</v>
      </c>
      <c r="K184">
        <v>0</v>
      </c>
      <c r="L184">
        <v>0</v>
      </c>
      <c r="M184">
        <v>0</v>
      </c>
      <c r="N184">
        <f t="shared" si="6"/>
        <v>-1</v>
      </c>
      <c r="O184">
        <f t="shared" si="7"/>
        <v>0</v>
      </c>
    </row>
    <row r="185" spans="1:15" x14ac:dyDescent="0.3">
      <c r="A185" t="s">
        <v>23</v>
      </c>
      <c r="B185" t="s">
        <v>84</v>
      </c>
      <c r="C185" t="s">
        <v>128</v>
      </c>
      <c r="D185" t="s">
        <v>247</v>
      </c>
      <c r="E185" t="s">
        <v>420</v>
      </c>
      <c r="F185">
        <v>7.2</v>
      </c>
      <c r="G185">
        <v>1.55</v>
      </c>
      <c r="H185">
        <v>4.0999999999999996</v>
      </c>
      <c r="I185">
        <v>1.4</v>
      </c>
      <c r="J185" t="s">
        <v>564</v>
      </c>
      <c r="K185">
        <v>1</v>
      </c>
      <c r="L185">
        <v>2</v>
      </c>
      <c r="M185">
        <v>1</v>
      </c>
      <c r="N185">
        <f t="shared" si="6"/>
        <v>0.37399999999999994</v>
      </c>
      <c r="O185">
        <f t="shared" si="7"/>
        <v>3</v>
      </c>
    </row>
    <row r="186" spans="1:15" x14ac:dyDescent="0.3">
      <c r="A186" t="s">
        <v>23</v>
      </c>
      <c r="B186" t="s">
        <v>81</v>
      </c>
      <c r="C186" t="s">
        <v>144</v>
      </c>
      <c r="D186" t="s">
        <v>248</v>
      </c>
      <c r="E186" t="s">
        <v>421</v>
      </c>
      <c r="F186">
        <v>6.4</v>
      </c>
      <c r="G186">
        <v>1.49</v>
      </c>
      <c r="H186">
        <v>4.4000000000000004</v>
      </c>
      <c r="I186">
        <v>1.33</v>
      </c>
      <c r="J186" t="s">
        <v>564</v>
      </c>
      <c r="K186">
        <v>0</v>
      </c>
      <c r="L186">
        <v>1</v>
      </c>
      <c r="M186">
        <v>1</v>
      </c>
      <c r="N186">
        <f t="shared" si="6"/>
        <v>0.3085500000000001</v>
      </c>
      <c r="O186">
        <f t="shared" si="7"/>
        <v>1</v>
      </c>
    </row>
    <row r="187" spans="1:15" x14ac:dyDescent="0.3">
      <c r="A187" t="s">
        <v>23</v>
      </c>
      <c r="B187" t="s">
        <v>81</v>
      </c>
      <c r="C187" t="s">
        <v>145</v>
      </c>
      <c r="D187" t="s">
        <v>249</v>
      </c>
      <c r="E187" t="s">
        <v>422</v>
      </c>
      <c r="F187">
        <v>1.41</v>
      </c>
      <c r="G187">
        <v>8.4</v>
      </c>
      <c r="H187">
        <v>5.6</v>
      </c>
      <c r="I187">
        <v>1.27</v>
      </c>
      <c r="J187" t="s">
        <v>564</v>
      </c>
      <c r="K187">
        <v>3</v>
      </c>
      <c r="L187">
        <v>0</v>
      </c>
      <c r="M187">
        <v>1</v>
      </c>
      <c r="N187">
        <f t="shared" si="6"/>
        <v>0.25245000000000001</v>
      </c>
      <c r="O187">
        <f t="shared" si="7"/>
        <v>3</v>
      </c>
    </row>
    <row r="188" spans="1:15" x14ac:dyDescent="0.3">
      <c r="A188" t="s">
        <v>24</v>
      </c>
      <c r="B188" t="s">
        <v>90</v>
      </c>
      <c r="C188" t="s">
        <v>146</v>
      </c>
      <c r="D188" t="s">
        <v>250</v>
      </c>
      <c r="E188" t="s">
        <v>338</v>
      </c>
      <c r="F188">
        <v>2.04</v>
      </c>
      <c r="G188">
        <v>5</v>
      </c>
      <c r="H188">
        <v>3.15</v>
      </c>
      <c r="I188">
        <v>1.59</v>
      </c>
      <c r="J188" t="s">
        <v>564</v>
      </c>
      <c r="K188">
        <v>1</v>
      </c>
      <c r="L188">
        <v>0</v>
      </c>
      <c r="M188">
        <v>0</v>
      </c>
      <c r="N188">
        <f t="shared" si="6"/>
        <v>-1</v>
      </c>
      <c r="O188">
        <f t="shared" si="7"/>
        <v>1</v>
      </c>
    </row>
    <row r="189" spans="1:15" x14ac:dyDescent="0.3">
      <c r="A189" t="s">
        <v>24</v>
      </c>
      <c r="B189" t="s">
        <v>85</v>
      </c>
      <c r="C189" t="s">
        <v>147</v>
      </c>
      <c r="D189" t="s">
        <v>251</v>
      </c>
      <c r="E189" t="s">
        <v>423</v>
      </c>
      <c r="F189">
        <v>7.4</v>
      </c>
      <c r="G189">
        <v>1.48</v>
      </c>
      <c r="H189">
        <v>4.9000000000000004</v>
      </c>
      <c r="I189">
        <v>1.33</v>
      </c>
      <c r="J189" t="s">
        <v>564</v>
      </c>
      <c r="K189">
        <v>0</v>
      </c>
      <c r="L189">
        <v>1</v>
      </c>
      <c r="M189">
        <v>1</v>
      </c>
      <c r="N189">
        <f t="shared" si="6"/>
        <v>0.3085500000000001</v>
      </c>
      <c r="O189">
        <f t="shared" si="7"/>
        <v>1</v>
      </c>
    </row>
    <row r="190" spans="1:15" x14ac:dyDescent="0.3">
      <c r="A190" t="s">
        <v>24</v>
      </c>
      <c r="B190" t="s">
        <v>82</v>
      </c>
      <c r="C190" t="s">
        <v>148</v>
      </c>
      <c r="D190" t="s">
        <v>252</v>
      </c>
      <c r="E190" t="s">
        <v>424</v>
      </c>
      <c r="F190">
        <v>4.5</v>
      </c>
      <c r="G190">
        <v>1.93</v>
      </c>
      <c r="H190">
        <v>3</v>
      </c>
      <c r="I190">
        <v>1.59</v>
      </c>
      <c r="J190" t="s">
        <v>564</v>
      </c>
      <c r="K190">
        <v>2</v>
      </c>
      <c r="L190">
        <v>0</v>
      </c>
      <c r="M190">
        <v>1</v>
      </c>
      <c r="N190">
        <f t="shared" si="6"/>
        <v>0.55165000000000008</v>
      </c>
      <c r="O190">
        <f t="shared" si="7"/>
        <v>2</v>
      </c>
    </row>
    <row r="191" spans="1:15" x14ac:dyDescent="0.3">
      <c r="A191" t="s">
        <v>24</v>
      </c>
      <c r="B191" t="s">
        <v>91</v>
      </c>
      <c r="C191" t="s">
        <v>149</v>
      </c>
      <c r="D191" t="s">
        <v>253</v>
      </c>
      <c r="E191" t="s">
        <v>425</v>
      </c>
      <c r="F191">
        <v>1.8</v>
      </c>
      <c r="G191">
        <v>4.9000000000000004</v>
      </c>
      <c r="H191">
        <v>3.15</v>
      </c>
      <c r="I191">
        <v>1.53</v>
      </c>
      <c r="J191" t="s">
        <v>564</v>
      </c>
      <c r="K191">
        <v>1</v>
      </c>
      <c r="L191">
        <v>0</v>
      </c>
      <c r="M191">
        <v>1</v>
      </c>
      <c r="N191">
        <f t="shared" si="6"/>
        <v>0.49555000000000005</v>
      </c>
      <c r="O191">
        <f t="shared" si="7"/>
        <v>1</v>
      </c>
    </row>
    <row r="192" spans="1:15" x14ac:dyDescent="0.3">
      <c r="A192" t="s">
        <v>24</v>
      </c>
      <c r="B192" t="s">
        <v>92</v>
      </c>
      <c r="C192" t="s">
        <v>150</v>
      </c>
      <c r="D192" t="s">
        <v>254</v>
      </c>
      <c r="E192" t="s">
        <v>426</v>
      </c>
      <c r="F192">
        <v>5.0999999999999996</v>
      </c>
      <c r="G192">
        <v>1.87</v>
      </c>
      <c r="H192">
        <v>3.4</v>
      </c>
      <c r="I192">
        <v>1.51</v>
      </c>
      <c r="J192" t="s">
        <v>564</v>
      </c>
      <c r="K192">
        <v>3</v>
      </c>
      <c r="L192">
        <v>1</v>
      </c>
      <c r="M192">
        <v>1</v>
      </c>
      <c r="N192">
        <f t="shared" si="6"/>
        <v>0.47685000000000005</v>
      </c>
      <c r="O192">
        <f t="shared" si="7"/>
        <v>4</v>
      </c>
    </row>
    <row r="193" spans="1:15" x14ac:dyDescent="0.3">
      <c r="A193" t="s">
        <v>24</v>
      </c>
      <c r="B193" t="s">
        <v>93</v>
      </c>
      <c r="C193" t="s">
        <v>151</v>
      </c>
      <c r="D193" t="s">
        <v>255</v>
      </c>
      <c r="E193" t="s">
        <v>427</v>
      </c>
      <c r="F193">
        <v>5.8</v>
      </c>
      <c r="G193">
        <v>1.82</v>
      </c>
      <c r="H193">
        <v>3.25</v>
      </c>
      <c r="I193">
        <v>1.52</v>
      </c>
      <c r="J193" t="s">
        <v>564</v>
      </c>
      <c r="K193">
        <v>1</v>
      </c>
      <c r="L193">
        <v>1</v>
      </c>
      <c r="M193">
        <v>1</v>
      </c>
      <c r="N193">
        <f t="shared" si="6"/>
        <v>0.48620000000000002</v>
      </c>
      <c r="O193">
        <f t="shared" si="7"/>
        <v>2</v>
      </c>
    </row>
    <row r="194" spans="1:15" x14ac:dyDescent="0.3">
      <c r="A194" t="s">
        <v>25</v>
      </c>
      <c r="B194" t="s">
        <v>89</v>
      </c>
      <c r="C194" t="s">
        <v>144</v>
      </c>
      <c r="D194" t="s">
        <v>256</v>
      </c>
      <c r="E194" t="s">
        <v>428</v>
      </c>
      <c r="F194">
        <v>8</v>
      </c>
      <c r="G194">
        <v>1.35</v>
      </c>
      <c r="H194">
        <v>4.5999999999999996</v>
      </c>
      <c r="I194">
        <v>1.29</v>
      </c>
      <c r="J194" t="s">
        <v>564</v>
      </c>
      <c r="K194">
        <v>2</v>
      </c>
      <c r="L194">
        <v>3</v>
      </c>
      <c r="M194">
        <v>1</v>
      </c>
      <c r="N194">
        <f t="shared" si="6"/>
        <v>0.27115000000000006</v>
      </c>
      <c r="O194">
        <f t="shared" si="7"/>
        <v>5</v>
      </c>
    </row>
    <row r="195" spans="1:15" x14ac:dyDescent="0.3">
      <c r="A195" t="s">
        <v>25</v>
      </c>
      <c r="B195" t="s">
        <v>77</v>
      </c>
      <c r="C195" t="s">
        <v>152</v>
      </c>
      <c r="D195" t="s">
        <v>257</v>
      </c>
      <c r="E195" t="s">
        <v>429</v>
      </c>
      <c r="F195">
        <v>2.04</v>
      </c>
      <c r="G195">
        <v>4.0999999999999996</v>
      </c>
      <c r="H195">
        <v>2.74</v>
      </c>
      <c r="I195">
        <v>1.64</v>
      </c>
      <c r="J195" t="s">
        <v>564</v>
      </c>
      <c r="K195">
        <v>0</v>
      </c>
      <c r="L195">
        <v>2</v>
      </c>
      <c r="M195">
        <v>1</v>
      </c>
      <c r="N195">
        <f t="shared" si="6"/>
        <v>0.59839999999999993</v>
      </c>
      <c r="O195">
        <f t="shared" si="7"/>
        <v>2</v>
      </c>
    </row>
    <row r="196" spans="1:15" x14ac:dyDescent="0.3">
      <c r="A196" t="s">
        <v>25</v>
      </c>
      <c r="B196" t="s">
        <v>94</v>
      </c>
      <c r="C196" t="s">
        <v>153</v>
      </c>
      <c r="D196" t="s">
        <v>258</v>
      </c>
      <c r="E196" t="s">
        <v>430</v>
      </c>
      <c r="F196">
        <v>1.77</v>
      </c>
      <c r="G196">
        <v>4.4000000000000004</v>
      </c>
      <c r="H196">
        <v>3.15</v>
      </c>
      <c r="I196">
        <v>1.52</v>
      </c>
      <c r="J196" t="s">
        <v>564</v>
      </c>
      <c r="K196">
        <v>0</v>
      </c>
      <c r="L196">
        <v>4</v>
      </c>
      <c r="M196">
        <v>1</v>
      </c>
      <c r="N196">
        <f t="shared" ref="N196:N245" si="8">IF(M196=1,0.935*(I196-1),-1)</f>
        <v>0.48620000000000002</v>
      </c>
      <c r="O196">
        <f t="shared" ref="O196:O245" si="9">K196+L196</f>
        <v>4</v>
      </c>
    </row>
    <row r="197" spans="1:15" x14ac:dyDescent="0.3">
      <c r="A197" t="s">
        <v>25</v>
      </c>
      <c r="B197" t="s">
        <v>95</v>
      </c>
      <c r="C197" t="s">
        <v>154</v>
      </c>
      <c r="D197" t="s">
        <v>259</v>
      </c>
      <c r="E197" t="s">
        <v>431</v>
      </c>
      <c r="F197">
        <v>1.78</v>
      </c>
      <c r="G197">
        <v>5.3</v>
      </c>
      <c r="H197">
        <v>3.8</v>
      </c>
      <c r="I197">
        <v>1.43</v>
      </c>
      <c r="J197" t="s">
        <v>564</v>
      </c>
      <c r="K197">
        <v>3</v>
      </c>
      <c r="L197">
        <v>0</v>
      </c>
      <c r="M197">
        <v>0</v>
      </c>
      <c r="N197">
        <f t="shared" si="8"/>
        <v>-1</v>
      </c>
      <c r="O197">
        <f t="shared" si="9"/>
        <v>3</v>
      </c>
    </row>
    <row r="198" spans="1:15" x14ac:dyDescent="0.3">
      <c r="A198" t="s">
        <v>26</v>
      </c>
      <c r="B198" t="s">
        <v>81</v>
      </c>
      <c r="C198" t="s">
        <v>135</v>
      </c>
      <c r="D198" t="s">
        <v>260</v>
      </c>
      <c r="E198" t="s">
        <v>289</v>
      </c>
      <c r="F198">
        <v>1.6</v>
      </c>
      <c r="G198">
        <v>6.4</v>
      </c>
      <c r="H198">
        <v>4.3</v>
      </c>
      <c r="I198">
        <v>1.39</v>
      </c>
      <c r="J198" t="s">
        <v>564</v>
      </c>
      <c r="K198">
        <v>2</v>
      </c>
      <c r="L198">
        <v>0</v>
      </c>
      <c r="M198">
        <v>1</v>
      </c>
      <c r="N198">
        <f t="shared" si="8"/>
        <v>0.36464999999999992</v>
      </c>
      <c r="O198">
        <f t="shared" si="9"/>
        <v>2</v>
      </c>
    </row>
    <row r="199" spans="1:15" x14ac:dyDescent="0.3">
      <c r="A199" t="s">
        <v>26</v>
      </c>
      <c r="B199" t="s">
        <v>81</v>
      </c>
      <c r="C199" t="s">
        <v>141</v>
      </c>
      <c r="D199" t="s">
        <v>261</v>
      </c>
      <c r="E199" t="s">
        <v>432</v>
      </c>
      <c r="F199">
        <v>2.02</v>
      </c>
      <c r="G199">
        <v>4.9000000000000004</v>
      </c>
      <c r="H199">
        <v>3.2</v>
      </c>
      <c r="I199">
        <v>1.55</v>
      </c>
      <c r="J199" t="s">
        <v>564</v>
      </c>
      <c r="K199">
        <v>1</v>
      </c>
      <c r="L199">
        <v>1</v>
      </c>
      <c r="M199">
        <v>1</v>
      </c>
      <c r="N199">
        <f t="shared" si="8"/>
        <v>0.5142500000000001</v>
      </c>
      <c r="O199">
        <f t="shared" si="9"/>
        <v>2</v>
      </c>
    </row>
    <row r="200" spans="1:15" x14ac:dyDescent="0.3">
      <c r="A200" t="s">
        <v>27</v>
      </c>
      <c r="B200" t="s">
        <v>96</v>
      </c>
      <c r="C200" t="s">
        <v>155</v>
      </c>
      <c r="D200" t="s">
        <v>262</v>
      </c>
      <c r="E200" t="s">
        <v>433</v>
      </c>
      <c r="F200">
        <v>6</v>
      </c>
      <c r="G200">
        <v>1.62</v>
      </c>
      <c r="H200">
        <v>4.4000000000000004</v>
      </c>
      <c r="I200">
        <v>1.37</v>
      </c>
      <c r="J200" t="s">
        <v>564</v>
      </c>
      <c r="K200">
        <v>1</v>
      </c>
      <c r="L200">
        <v>5</v>
      </c>
      <c r="M200">
        <v>1</v>
      </c>
      <c r="N200">
        <f t="shared" si="8"/>
        <v>0.34595000000000015</v>
      </c>
      <c r="O200">
        <f t="shared" si="9"/>
        <v>6</v>
      </c>
    </row>
    <row r="201" spans="1:15" x14ac:dyDescent="0.3">
      <c r="A201" t="s">
        <v>27</v>
      </c>
      <c r="B201" t="s">
        <v>79</v>
      </c>
      <c r="C201" t="s">
        <v>154</v>
      </c>
      <c r="D201" t="s">
        <v>263</v>
      </c>
      <c r="E201" t="s">
        <v>434</v>
      </c>
      <c r="F201">
        <v>1.68</v>
      </c>
      <c r="G201">
        <v>5.8</v>
      </c>
      <c r="H201">
        <v>3.85</v>
      </c>
      <c r="I201">
        <v>1.42</v>
      </c>
      <c r="J201" t="s">
        <v>564</v>
      </c>
      <c r="K201">
        <v>0</v>
      </c>
      <c r="L201">
        <v>0</v>
      </c>
      <c r="M201">
        <v>0</v>
      </c>
      <c r="N201">
        <f t="shared" si="8"/>
        <v>-1</v>
      </c>
      <c r="O201">
        <f t="shared" si="9"/>
        <v>0</v>
      </c>
    </row>
    <row r="202" spans="1:15" x14ac:dyDescent="0.3">
      <c r="A202" t="s">
        <v>27</v>
      </c>
      <c r="B202" t="s">
        <v>80</v>
      </c>
      <c r="C202" t="s">
        <v>156</v>
      </c>
      <c r="D202" t="s">
        <v>264</v>
      </c>
      <c r="E202" t="s">
        <v>435</v>
      </c>
      <c r="F202">
        <v>1.64</v>
      </c>
      <c r="G202">
        <v>6</v>
      </c>
      <c r="H202">
        <v>4</v>
      </c>
      <c r="I202">
        <v>1.42</v>
      </c>
      <c r="J202" t="s">
        <v>564</v>
      </c>
      <c r="K202">
        <v>3</v>
      </c>
      <c r="L202">
        <v>2</v>
      </c>
      <c r="M202">
        <v>1</v>
      </c>
      <c r="N202">
        <f t="shared" si="8"/>
        <v>0.39269999999999994</v>
      </c>
      <c r="O202">
        <f t="shared" si="9"/>
        <v>5</v>
      </c>
    </row>
    <row r="203" spans="1:15" x14ac:dyDescent="0.3">
      <c r="A203" t="s">
        <v>27</v>
      </c>
      <c r="B203" t="s">
        <v>97</v>
      </c>
      <c r="C203" t="s">
        <v>157</v>
      </c>
      <c r="D203" t="s">
        <v>265</v>
      </c>
      <c r="E203" t="s">
        <v>436</v>
      </c>
      <c r="F203">
        <v>4.7</v>
      </c>
      <c r="G203">
        <v>1.93</v>
      </c>
      <c r="H203">
        <v>3.15</v>
      </c>
      <c r="I203">
        <v>1.54</v>
      </c>
      <c r="J203" t="s">
        <v>564</v>
      </c>
      <c r="K203">
        <v>1</v>
      </c>
      <c r="L203">
        <v>1</v>
      </c>
      <c r="M203">
        <v>1</v>
      </c>
      <c r="N203">
        <f t="shared" si="8"/>
        <v>0.50490000000000002</v>
      </c>
      <c r="O203">
        <f t="shared" si="9"/>
        <v>2</v>
      </c>
    </row>
    <row r="204" spans="1:15" x14ac:dyDescent="0.3">
      <c r="A204" t="s">
        <v>27</v>
      </c>
      <c r="B204" t="s">
        <v>86</v>
      </c>
      <c r="C204" t="s">
        <v>158</v>
      </c>
      <c r="D204" t="s">
        <v>266</v>
      </c>
      <c r="E204" t="s">
        <v>437</v>
      </c>
      <c r="F204">
        <v>1.99</v>
      </c>
      <c r="G204">
        <v>4</v>
      </c>
      <c r="H204">
        <v>3.5</v>
      </c>
      <c r="I204">
        <v>1.47</v>
      </c>
      <c r="J204" t="s">
        <v>564</v>
      </c>
      <c r="K204">
        <v>3</v>
      </c>
      <c r="L204">
        <v>0</v>
      </c>
      <c r="M204">
        <v>1</v>
      </c>
      <c r="N204">
        <f t="shared" si="8"/>
        <v>0.43945000000000001</v>
      </c>
      <c r="O204">
        <f t="shared" si="9"/>
        <v>3</v>
      </c>
    </row>
    <row r="205" spans="1:15" x14ac:dyDescent="0.3">
      <c r="A205" t="s">
        <v>28</v>
      </c>
      <c r="B205" t="s">
        <v>79</v>
      </c>
      <c r="C205" t="s">
        <v>159</v>
      </c>
      <c r="D205" t="s">
        <v>267</v>
      </c>
      <c r="E205" t="s">
        <v>438</v>
      </c>
      <c r="F205">
        <v>8.6</v>
      </c>
      <c r="G205">
        <v>1.36</v>
      </c>
      <c r="H205">
        <v>4.7</v>
      </c>
      <c r="I205">
        <v>1.31</v>
      </c>
      <c r="J205" t="s">
        <v>564</v>
      </c>
      <c r="K205">
        <v>1</v>
      </c>
      <c r="L205">
        <v>8</v>
      </c>
      <c r="M205">
        <v>1</v>
      </c>
      <c r="N205">
        <f t="shared" si="8"/>
        <v>0.28985000000000005</v>
      </c>
      <c r="O205">
        <f t="shared" si="9"/>
        <v>9</v>
      </c>
    </row>
    <row r="206" spans="1:15" x14ac:dyDescent="0.3">
      <c r="A206" t="s">
        <v>28</v>
      </c>
      <c r="B206" t="s">
        <v>77</v>
      </c>
      <c r="C206" t="s">
        <v>160</v>
      </c>
      <c r="D206" t="s">
        <v>268</v>
      </c>
      <c r="E206" t="s">
        <v>439</v>
      </c>
      <c r="F206">
        <v>1.9</v>
      </c>
      <c r="G206">
        <v>4.4000000000000004</v>
      </c>
      <c r="H206">
        <v>3.1</v>
      </c>
      <c r="I206">
        <v>1.56</v>
      </c>
      <c r="J206" t="s">
        <v>564</v>
      </c>
      <c r="K206">
        <v>1</v>
      </c>
      <c r="L206">
        <v>3</v>
      </c>
      <c r="M206">
        <v>1</v>
      </c>
      <c r="N206">
        <f t="shared" si="8"/>
        <v>0.52360000000000007</v>
      </c>
      <c r="O206">
        <f t="shared" si="9"/>
        <v>4</v>
      </c>
    </row>
    <row r="207" spans="1:15" x14ac:dyDescent="0.3">
      <c r="A207" t="s">
        <v>28</v>
      </c>
      <c r="B207" t="s">
        <v>78</v>
      </c>
      <c r="C207" t="s">
        <v>161</v>
      </c>
      <c r="D207" t="s">
        <v>269</v>
      </c>
      <c r="E207" t="s">
        <v>440</v>
      </c>
      <c r="F207">
        <v>4.9000000000000004</v>
      </c>
      <c r="G207">
        <v>1.83</v>
      </c>
      <c r="H207">
        <v>3.6</v>
      </c>
      <c r="I207">
        <v>1.46</v>
      </c>
      <c r="J207" t="s">
        <v>564</v>
      </c>
      <c r="K207">
        <v>1</v>
      </c>
      <c r="L207">
        <v>0</v>
      </c>
      <c r="M207">
        <v>1</v>
      </c>
      <c r="N207">
        <f t="shared" si="8"/>
        <v>0.43009999999999998</v>
      </c>
      <c r="O207">
        <f t="shared" si="9"/>
        <v>1</v>
      </c>
    </row>
    <row r="208" spans="1:15" x14ac:dyDescent="0.3">
      <c r="A208" t="s">
        <v>28</v>
      </c>
      <c r="B208" t="s">
        <v>80</v>
      </c>
      <c r="C208" t="s">
        <v>162</v>
      </c>
      <c r="D208" t="s">
        <v>270</v>
      </c>
      <c r="E208" t="s">
        <v>441</v>
      </c>
      <c r="F208">
        <v>4.5999999999999996</v>
      </c>
      <c r="G208">
        <v>2.02</v>
      </c>
      <c r="H208">
        <v>3.25</v>
      </c>
      <c r="I208">
        <v>1.53</v>
      </c>
      <c r="J208" t="s">
        <v>564</v>
      </c>
      <c r="K208">
        <v>1</v>
      </c>
      <c r="L208">
        <v>0</v>
      </c>
      <c r="M208">
        <v>1</v>
      </c>
      <c r="N208">
        <f t="shared" si="8"/>
        <v>0.49555000000000005</v>
      </c>
      <c r="O208">
        <f t="shared" si="9"/>
        <v>1</v>
      </c>
    </row>
    <row r="209" spans="1:15" x14ac:dyDescent="0.3">
      <c r="A209" t="s">
        <v>28</v>
      </c>
      <c r="B209" t="s">
        <v>88</v>
      </c>
      <c r="C209" t="s">
        <v>141</v>
      </c>
      <c r="D209" t="s">
        <v>271</v>
      </c>
      <c r="E209" t="s">
        <v>357</v>
      </c>
      <c r="F209">
        <v>1.74</v>
      </c>
      <c r="G209">
        <v>5.6</v>
      </c>
      <c r="H209">
        <v>3.85</v>
      </c>
      <c r="I209">
        <v>1.42</v>
      </c>
      <c r="J209" t="s">
        <v>564</v>
      </c>
      <c r="K209">
        <v>1</v>
      </c>
      <c r="L209">
        <v>0</v>
      </c>
      <c r="M209">
        <v>1</v>
      </c>
      <c r="N209">
        <f t="shared" si="8"/>
        <v>0.39269999999999994</v>
      </c>
      <c r="O209">
        <f t="shared" si="9"/>
        <v>1</v>
      </c>
    </row>
    <row r="210" spans="1:15" x14ac:dyDescent="0.3">
      <c r="A210" t="s">
        <v>28</v>
      </c>
      <c r="B210" t="s">
        <v>85</v>
      </c>
      <c r="C210" t="s">
        <v>163</v>
      </c>
      <c r="D210" t="s">
        <v>272</v>
      </c>
      <c r="E210" t="s">
        <v>442</v>
      </c>
      <c r="F210">
        <v>1.7</v>
      </c>
      <c r="G210">
        <v>5.6</v>
      </c>
      <c r="H210">
        <v>4.2</v>
      </c>
      <c r="I210">
        <v>1.39</v>
      </c>
      <c r="J210" t="s">
        <v>564</v>
      </c>
      <c r="K210">
        <v>2</v>
      </c>
      <c r="L210">
        <v>1</v>
      </c>
      <c r="M210">
        <v>1</v>
      </c>
      <c r="N210">
        <f t="shared" si="8"/>
        <v>0.36464999999999992</v>
      </c>
      <c r="O210">
        <f t="shared" si="9"/>
        <v>3</v>
      </c>
    </row>
    <row r="211" spans="1:15" x14ac:dyDescent="0.3">
      <c r="A211" t="s">
        <v>28</v>
      </c>
      <c r="B211" t="s">
        <v>91</v>
      </c>
      <c r="C211" t="s">
        <v>164</v>
      </c>
      <c r="D211" t="s">
        <v>273</v>
      </c>
      <c r="E211" t="s">
        <v>443</v>
      </c>
      <c r="F211">
        <v>4.8</v>
      </c>
      <c r="G211">
        <v>1.81</v>
      </c>
      <c r="H211">
        <v>3.1</v>
      </c>
      <c r="I211">
        <v>1.54</v>
      </c>
      <c r="J211" t="s">
        <v>564</v>
      </c>
      <c r="K211">
        <v>1</v>
      </c>
      <c r="L211">
        <v>0</v>
      </c>
      <c r="M211">
        <v>1</v>
      </c>
      <c r="N211">
        <f t="shared" si="8"/>
        <v>0.50490000000000002</v>
      </c>
      <c r="O211">
        <f t="shared" si="9"/>
        <v>1</v>
      </c>
    </row>
    <row r="212" spans="1:15" x14ac:dyDescent="0.3">
      <c r="A212" t="s">
        <v>29</v>
      </c>
      <c r="B212" t="s">
        <v>98</v>
      </c>
      <c r="C212" t="s">
        <v>165</v>
      </c>
      <c r="D212" t="s">
        <v>274</v>
      </c>
      <c r="E212" t="s">
        <v>444</v>
      </c>
      <c r="F212">
        <v>1.85</v>
      </c>
      <c r="G212">
        <v>4.8</v>
      </c>
      <c r="H212">
        <v>3.05</v>
      </c>
      <c r="I212">
        <v>1.55</v>
      </c>
      <c r="J212" t="s">
        <v>564</v>
      </c>
      <c r="K212">
        <v>1</v>
      </c>
      <c r="L212">
        <v>0</v>
      </c>
      <c r="M212">
        <v>1</v>
      </c>
      <c r="N212">
        <f t="shared" si="8"/>
        <v>0.5142500000000001</v>
      </c>
      <c r="O212">
        <f t="shared" si="9"/>
        <v>1</v>
      </c>
    </row>
    <row r="213" spans="1:15" x14ac:dyDescent="0.3">
      <c r="A213" t="s">
        <v>30</v>
      </c>
      <c r="B213" t="s">
        <v>99</v>
      </c>
      <c r="C213" t="s">
        <v>166</v>
      </c>
      <c r="D213" t="s">
        <v>275</v>
      </c>
      <c r="E213" t="s">
        <v>445</v>
      </c>
      <c r="F213">
        <v>1.47</v>
      </c>
      <c r="G213">
        <v>7</v>
      </c>
      <c r="H213">
        <v>5.2</v>
      </c>
      <c r="I213">
        <v>1.31</v>
      </c>
      <c r="J213" t="s">
        <v>564</v>
      </c>
      <c r="K213">
        <v>0</v>
      </c>
      <c r="L213">
        <v>0</v>
      </c>
      <c r="M213">
        <v>0</v>
      </c>
      <c r="N213">
        <f t="shared" si="8"/>
        <v>-1</v>
      </c>
      <c r="O213">
        <f t="shared" si="9"/>
        <v>0</v>
      </c>
    </row>
    <row r="214" spans="1:15" x14ac:dyDescent="0.3">
      <c r="A214" t="s">
        <v>30</v>
      </c>
      <c r="B214" t="s">
        <v>97</v>
      </c>
      <c r="C214" t="s">
        <v>150</v>
      </c>
      <c r="D214" t="s">
        <v>276</v>
      </c>
      <c r="E214" t="s">
        <v>446</v>
      </c>
      <c r="F214">
        <v>5</v>
      </c>
      <c r="G214">
        <v>1.9</v>
      </c>
      <c r="H214">
        <v>3.35</v>
      </c>
      <c r="I214">
        <v>1.53</v>
      </c>
      <c r="J214" t="s">
        <v>564</v>
      </c>
      <c r="K214">
        <v>4</v>
      </c>
      <c r="L214">
        <v>0</v>
      </c>
      <c r="M214">
        <v>1</v>
      </c>
      <c r="N214">
        <f t="shared" si="8"/>
        <v>0.49555000000000005</v>
      </c>
      <c r="O214">
        <f t="shared" si="9"/>
        <v>4</v>
      </c>
    </row>
    <row r="215" spans="1:15" x14ac:dyDescent="0.3">
      <c r="A215" t="s">
        <v>31</v>
      </c>
      <c r="B215" t="s">
        <v>85</v>
      </c>
      <c r="C215" t="s">
        <v>167</v>
      </c>
      <c r="D215" t="s">
        <v>277</v>
      </c>
      <c r="E215" t="s">
        <v>447</v>
      </c>
      <c r="F215">
        <v>1.79</v>
      </c>
      <c r="G215">
        <v>5.3</v>
      </c>
      <c r="H215">
        <v>3.85</v>
      </c>
      <c r="I215">
        <v>1.45</v>
      </c>
      <c r="J215" t="s">
        <v>564</v>
      </c>
      <c r="K215">
        <v>1</v>
      </c>
      <c r="L215">
        <v>1</v>
      </c>
      <c r="M215">
        <v>0</v>
      </c>
      <c r="N215">
        <f t="shared" si="8"/>
        <v>-1</v>
      </c>
      <c r="O215">
        <f t="shared" si="9"/>
        <v>2</v>
      </c>
    </row>
    <row r="216" spans="1:15" x14ac:dyDescent="0.3">
      <c r="A216" t="s">
        <v>31</v>
      </c>
      <c r="B216" t="s">
        <v>91</v>
      </c>
      <c r="C216" t="s">
        <v>168</v>
      </c>
      <c r="D216" t="s">
        <v>278</v>
      </c>
      <c r="E216" t="s">
        <v>448</v>
      </c>
      <c r="F216">
        <v>5.0999999999999996</v>
      </c>
      <c r="G216">
        <v>1.82</v>
      </c>
      <c r="H216">
        <v>3.3</v>
      </c>
      <c r="I216">
        <v>1.51</v>
      </c>
      <c r="J216" t="s">
        <v>564</v>
      </c>
      <c r="K216">
        <v>1</v>
      </c>
      <c r="L216">
        <v>1</v>
      </c>
      <c r="M216">
        <v>0</v>
      </c>
      <c r="N216">
        <f t="shared" si="8"/>
        <v>-1</v>
      </c>
      <c r="O216">
        <f t="shared" si="9"/>
        <v>2</v>
      </c>
    </row>
    <row r="217" spans="1:15" x14ac:dyDescent="0.3">
      <c r="A217" t="s">
        <v>31</v>
      </c>
      <c r="B217" t="s">
        <v>92</v>
      </c>
      <c r="C217" t="s">
        <v>169</v>
      </c>
      <c r="D217" t="s">
        <v>279</v>
      </c>
      <c r="E217" t="s">
        <v>449</v>
      </c>
      <c r="F217">
        <v>1.85</v>
      </c>
      <c r="G217">
        <v>5</v>
      </c>
      <c r="H217">
        <v>3.6</v>
      </c>
      <c r="I217">
        <v>1.46</v>
      </c>
      <c r="J217" t="s">
        <v>564</v>
      </c>
      <c r="K217">
        <v>3</v>
      </c>
      <c r="L217">
        <v>2</v>
      </c>
      <c r="M217">
        <v>1</v>
      </c>
      <c r="N217">
        <f t="shared" si="8"/>
        <v>0.43009999999999998</v>
      </c>
      <c r="O217">
        <f t="shared" si="9"/>
        <v>5</v>
      </c>
    </row>
    <row r="218" spans="1:15" x14ac:dyDescent="0.3">
      <c r="A218" t="s">
        <v>31</v>
      </c>
      <c r="B218" t="s">
        <v>86</v>
      </c>
      <c r="C218" t="s">
        <v>170</v>
      </c>
      <c r="D218" t="s">
        <v>280</v>
      </c>
      <c r="E218" t="s">
        <v>450</v>
      </c>
      <c r="F218">
        <v>2.04</v>
      </c>
      <c r="G218">
        <v>4.4000000000000004</v>
      </c>
      <c r="H218">
        <v>2.98</v>
      </c>
      <c r="I218">
        <v>1.6</v>
      </c>
      <c r="J218" t="s">
        <v>564</v>
      </c>
      <c r="K218">
        <v>1</v>
      </c>
      <c r="L218">
        <v>1</v>
      </c>
      <c r="M218">
        <v>0</v>
      </c>
      <c r="N218">
        <f t="shared" si="8"/>
        <v>-1</v>
      </c>
      <c r="O218">
        <f t="shared" si="9"/>
        <v>2</v>
      </c>
    </row>
    <row r="219" spans="1:15" x14ac:dyDescent="0.3">
      <c r="A219" t="s">
        <v>32</v>
      </c>
      <c r="B219" t="s">
        <v>82</v>
      </c>
      <c r="C219" t="s">
        <v>171</v>
      </c>
      <c r="D219" t="s">
        <v>281</v>
      </c>
      <c r="E219" t="s">
        <v>451</v>
      </c>
      <c r="F219">
        <v>1.75</v>
      </c>
      <c r="G219">
        <v>5.3</v>
      </c>
      <c r="H219">
        <v>4</v>
      </c>
      <c r="I219">
        <v>1.44</v>
      </c>
      <c r="J219" t="s">
        <v>564</v>
      </c>
      <c r="K219">
        <v>4</v>
      </c>
      <c r="L219">
        <v>1</v>
      </c>
      <c r="M219">
        <v>1</v>
      </c>
      <c r="N219">
        <f t="shared" si="8"/>
        <v>0.41139999999999999</v>
      </c>
      <c r="O219">
        <f t="shared" si="9"/>
        <v>5</v>
      </c>
    </row>
    <row r="220" spans="1:15" x14ac:dyDescent="0.3">
      <c r="A220" t="s">
        <v>33</v>
      </c>
      <c r="B220" t="s">
        <v>98</v>
      </c>
      <c r="C220" t="s">
        <v>172</v>
      </c>
      <c r="D220" t="s">
        <v>282</v>
      </c>
      <c r="E220" t="s">
        <v>452</v>
      </c>
      <c r="F220">
        <v>2.2000000000000002</v>
      </c>
      <c r="G220">
        <v>4</v>
      </c>
      <c r="H220">
        <v>2.82</v>
      </c>
      <c r="I220">
        <v>1.68</v>
      </c>
      <c r="J220" t="s">
        <v>564</v>
      </c>
      <c r="K220">
        <v>1</v>
      </c>
      <c r="L220">
        <v>0</v>
      </c>
      <c r="M220">
        <v>1</v>
      </c>
      <c r="N220">
        <f t="shared" si="8"/>
        <v>0.63580000000000003</v>
      </c>
      <c r="O220">
        <f t="shared" si="9"/>
        <v>1</v>
      </c>
    </row>
    <row r="221" spans="1:15" x14ac:dyDescent="0.3">
      <c r="A221" t="s">
        <v>33</v>
      </c>
      <c r="B221" t="s">
        <v>100</v>
      </c>
      <c r="C221" t="s">
        <v>173</v>
      </c>
      <c r="D221" t="s">
        <v>283</v>
      </c>
      <c r="E221" t="s">
        <v>453</v>
      </c>
      <c r="F221">
        <v>1.39</v>
      </c>
      <c r="G221">
        <v>6.4</v>
      </c>
      <c r="H221">
        <v>4.4000000000000004</v>
      </c>
      <c r="I221">
        <v>1.24</v>
      </c>
      <c r="J221" t="s">
        <v>564</v>
      </c>
      <c r="K221">
        <v>1</v>
      </c>
      <c r="L221">
        <v>2</v>
      </c>
      <c r="M221">
        <v>1</v>
      </c>
      <c r="N221">
        <f t="shared" si="8"/>
        <v>0.22440000000000002</v>
      </c>
      <c r="O221">
        <f t="shared" si="9"/>
        <v>3</v>
      </c>
    </row>
    <row r="222" spans="1:15" x14ac:dyDescent="0.3">
      <c r="A222" t="s">
        <v>33</v>
      </c>
      <c r="B222" t="s">
        <v>101</v>
      </c>
      <c r="C222" t="s">
        <v>174</v>
      </c>
      <c r="D222" t="s">
        <v>284</v>
      </c>
      <c r="E222" t="s">
        <v>454</v>
      </c>
      <c r="F222">
        <v>2.46</v>
      </c>
      <c r="G222">
        <v>3.65</v>
      </c>
      <c r="H222">
        <v>3.05</v>
      </c>
      <c r="I222">
        <v>1.58</v>
      </c>
      <c r="J222" t="s">
        <v>564</v>
      </c>
      <c r="K222">
        <v>2</v>
      </c>
      <c r="L222">
        <v>1</v>
      </c>
      <c r="M222">
        <v>1</v>
      </c>
      <c r="N222">
        <f t="shared" si="8"/>
        <v>0.54230000000000012</v>
      </c>
      <c r="O222">
        <f t="shared" si="9"/>
        <v>3</v>
      </c>
    </row>
    <row r="223" spans="1:15" x14ac:dyDescent="0.3">
      <c r="A223" t="s">
        <v>34</v>
      </c>
      <c r="B223" t="s">
        <v>102</v>
      </c>
      <c r="C223" t="s">
        <v>175</v>
      </c>
      <c r="D223" t="s">
        <v>285</v>
      </c>
      <c r="E223" t="s">
        <v>455</v>
      </c>
      <c r="F223">
        <v>2.04</v>
      </c>
      <c r="G223">
        <v>4.5</v>
      </c>
      <c r="H223">
        <v>3.1</v>
      </c>
      <c r="I223">
        <v>1.59</v>
      </c>
      <c r="J223" t="s">
        <v>564</v>
      </c>
      <c r="K223">
        <v>0</v>
      </c>
      <c r="L223">
        <v>4</v>
      </c>
      <c r="M223">
        <v>1</v>
      </c>
      <c r="N223">
        <f t="shared" si="8"/>
        <v>0.55165000000000008</v>
      </c>
      <c r="O223">
        <f t="shared" si="9"/>
        <v>4</v>
      </c>
    </row>
    <row r="224" spans="1:15" x14ac:dyDescent="0.3">
      <c r="A224" t="s">
        <v>34</v>
      </c>
      <c r="B224" t="s">
        <v>77</v>
      </c>
      <c r="C224" t="s">
        <v>176</v>
      </c>
      <c r="D224" t="s">
        <v>286</v>
      </c>
      <c r="E224" t="s">
        <v>456</v>
      </c>
      <c r="F224">
        <v>1.82</v>
      </c>
      <c r="G224">
        <v>5.0999999999999996</v>
      </c>
      <c r="H224">
        <v>3.3</v>
      </c>
      <c r="I224">
        <v>1.51</v>
      </c>
      <c r="J224" t="s">
        <v>564</v>
      </c>
      <c r="K224">
        <v>1</v>
      </c>
      <c r="L224">
        <v>1</v>
      </c>
      <c r="M224">
        <v>1</v>
      </c>
      <c r="N224">
        <f t="shared" si="8"/>
        <v>0.47685000000000005</v>
      </c>
      <c r="O224">
        <f t="shared" si="9"/>
        <v>2</v>
      </c>
    </row>
    <row r="225" spans="1:15" x14ac:dyDescent="0.3">
      <c r="A225" t="s">
        <v>34</v>
      </c>
      <c r="B225" t="s">
        <v>80</v>
      </c>
      <c r="C225" t="s">
        <v>156</v>
      </c>
      <c r="D225" t="s">
        <v>287</v>
      </c>
      <c r="E225" t="s">
        <v>457</v>
      </c>
      <c r="F225">
        <v>1.79</v>
      </c>
      <c r="G225">
        <v>5.6</v>
      </c>
      <c r="H225">
        <v>3.6</v>
      </c>
      <c r="I225">
        <v>1.48</v>
      </c>
      <c r="J225" t="s">
        <v>564</v>
      </c>
      <c r="K225">
        <v>4</v>
      </c>
      <c r="L225">
        <v>2</v>
      </c>
      <c r="M225">
        <v>1</v>
      </c>
      <c r="N225">
        <f t="shared" si="8"/>
        <v>0.44880000000000003</v>
      </c>
      <c r="O225">
        <f t="shared" si="9"/>
        <v>6</v>
      </c>
    </row>
    <row r="226" spans="1:15" x14ac:dyDescent="0.3">
      <c r="A226" t="s">
        <v>34</v>
      </c>
      <c r="B226" t="s">
        <v>80</v>
      </c>
      <c r="C226" t="s">
        <v>133</v>
      </c>
      <c r="D226" t="s">
        <v>288</v>
      </c>
      <c r="E226" t="s">
        <v>458</v>
      </c>
      <c r="F226">
        <v>3.6</v>
      </c>
      <c r="G226">
        <v>2.3199999999999998</v>
      </c>
      <c r="H226">
        <v>2.98</v>
      </c>
      <c r="I226">
        <v>1.61</v>
      </c>
      <c r="J226" t="s">
        <v>564</v>
      </c>
      <c r="K226">
        <v>1</v>
      </c>
      <c r="L226">
        <v>1</v>
      </c>
      <c r="M226">
        <v>1</v>
      </c>
      <c r="N226">
        <f t="shared" si="8"/>
        <v>0.57035000000000013</v>
      </c>
      <c r="O226">
        <f t="shared" si="9"/>
        <v>2</v>
      </c>
    </row>
    <row r="227" spans="1:15" x14ac:dyDescent="0.3">
      <c r="A227" t="s">
        <v>34</v>
      </c>
      <c r="B227" t="s">
        <v>103</v>
      </c>
      <c r="C227" t="s">
        <v>135</v>
      </c>
      <c r="D227" t="s">
        <v>289</v>
      </c>
      <c r="E227" t="s">
        <v>459</v>
      </c>
      <c r="F227">
        <v>1.83</v>
      </c>
      <c r="G227">
        <v>5.0999999999999996</v>
      </c>
      <c r="H227">
        <v>3.7</v>
      </c>
      <c r="I227">
        <v>1.46</v>
      </c>
      <c r="J227" t="s">
        <v>564</v>
      </c>
      <c r="K227">
        <v>2</v>
      </c>
      <c r="L227">
        <v>0</v>
      </c>
      <c r="M227">
        <v>0</v>
      </c>
      <c r="N227">
        <f t="shared" si="8"/>
        <v>-1</v>
      </c>
      <c r="O227">
        <f t="shared" si="9"/>
        <v>2</v>
      </c>
    </row>
    <row r="228" spans="1:15" x14ac:dyDescent="0.3">
      <c r="A228" t="s">
        <v>34</v>
      </c>
      <c r="B228" t="s">
        <v>104</v>
      </c>
      <c r="C228" t="s">
        <v>131</v>
      </c>
      <c r="D228" t="s">
        <v>290</v>
      </c>
      <c r="E228" t="s">
        <v>460</v>
      </c>
      <c r="F228">
        <v>1.63</v>
      </c>
      <c r="G228">
        <v>6.4</v>
      </c>
      <c r="H228">
        <v>3.65</v>
      </c>
      <c r="I228">
        <v>1.47</v>
      </c>
      <c r="J228" t="s">
        <v>564</v>
      </c>
      <c r="K228">
        <v>2</v>
      </c>
      <c r="L228">
        <v>0</v>
      </c>
      <c r="M228">
        <v>1</v>
      </c>
      <c r="N228">
        <f t="shared" si="8"/>
        <v>0.43945000000000001</v>
      </c>
      <c r="O228">
        <f t="shared" si="9"/>
        <v>2</v>
      </c>
    </row>
    <row r="229" spans="1:15" x14ac:dyDescent="0.3">
      <c r="A229" t="s">
        <v>34</v>
      </c>
      <c r="B229" t="s">
        <v>94</v>
      </c>
      <c r="C229" t="s">
        <v>161</v>
      </c>
      <c r="D229" t="s">
        <v>291</v>
      </c>
      <c r="E229" t="s">
        <v>440</v>
      </c>
      <c r="F229">
        <v>1.85</v>
      </c>
      <c r="G229">
        <v>4.8</v>
      </c>
      <c r="H229">
        <v>3.8</v>
      </c>
      <c r="I229">
        <v>1.44</v>
      </c>
      <c r="J229" t="s">
        <v>564</v>
      </c>
      <c r="K229">
        <v>2</v>
      </c>
      <c r="L229">
        <v>0</v>
      </c>
      <c r="M229">
        <v>0</v>
      </c>
      <c r="N229">
        <f t="shared" si="8"/>
        <v>-1</v>
      </c>
      <c r="O229">
        <f t="shared" si="9"/>
        <v>2</v>
      </c>
    </row>
    <row r="230" spans="1:15" x14ac:dyDescent="0.3">
      <c r="A230" t="s">
        <v>34</v>
      </c>
      <c r="B230" t="s">
        <v>105</v>
      </c>
      <c r="C230" t="s">
        <v>148</v>
      </c>
      <c r="D230" t="s">
        <v>292</v>
      </c>
      <c r="E230" t="s">
        <v>252</v>
      </c>
      <c r="F230">
        <v>1.85</v>
      </c>
      <c r="G230">
        <v>4.9000000000000004</v>
      </c>
      <c r="H230">
        <v>3.25</v>
      </c>
      <c r="I230">
        <v>1.54</v>
      </c>
      <c r="J230" t="s">
        <v>564</v>
      </c>
      <c r="K230">
        <v>2</v>
      </c>
      <c r="L230">
        <v>1</v>
      </c>
      <c r="M230">
        <v>1</v>
      </c>
      <c r="N230">
        <f t="shared" si="8"/>
        <v>0.50490000000000002</v>
      </c>
      <c r="O230">
        <f t="shared" si="9"/>
        <v>3</v>
      </c>
    </row>
    <row r="231" spans="1:15" x14ac:dyDescent="0.3">
      <c r="A231" t="s">
        <v>34</v>
      </c>
      <c r="B231" t="s">
        <v>106</v>
      </c>
      <c r="C231" t="s">
        <v>174</v>
      </c>
      <c r="D231" t="s">
        <v>293</v>
      </c>
      <c r="E231" t="s">
        <v>461</v>
      </c>
      <c r="F231">
        <v>4.4000000000000004</v>
      </c>
      <c r="G231">
        <v>2.16</v>
      </c>
      <c r="H231">
        <v>3</v>
      </c>
      <c r="I231">
        <v>1.62</v>
      </c>
      <c r="J231" t="s">
        <v>564</v>
      </c>
      <c r="K231">
        <v>1</v>
      </c>
      <c r="L231">
        <v>1</v>
      </c>
      <c r="M231">
        <v>1</v>
      </c>
      <c r="N231">
        <f t="shared" si="8"/>
        <v>0.5797000000000001</v>
      </c>
      <c r="O231">
        <f t="shared" si="9"/>
        <v>2</v>
      </c>
    </row>
    <row r="232" spans="1:15" x14ac:dyDescent="0.3">
      <c r="A232" t="s">
        <v>35</v>
      </c>
      <c r="B232" t="s">
        <v>89</v>
      </c>
      <c r="C232" t="s">
        <v>177</v>
      </c>
      <c r="D232" t="s">
        <v>294</v>
      </c>
      <c r="E232" t="s">
        <v>462</v>
      </c>
      <c r="F232">
        <v>1.52</v>
      </c>
      <c r="G232">
        <v>6.4</v>
      </c>
      <c r="H232">
        <v>3.95</v>
      </c>
      <c r="I232">
        <v>1.38</v>
      </c>
      <c r="J232" t="s">
        <v>564</v>
      </c>
      <c r="K232">
        <v>1</v>
      </c>
      <c r="L232">
        <v>1</v>
      </c>
      <c r="M232">
        <v>0</v>
      </c>
      <c r="N232">
        <f t="shared" si="8"/>
        <v>-1</v>
      </c>
      <c r="O232">
        <f t="shared" si="9"/>
        <v>2</v>
      </c>
    </row>
    <row r="233" spans="1:15" x14ac:dyDescent="0.3">
      <c r="A233" t="s">
        <v>35</v>
      </c>
      <c r="B233" t="s">
        <v>89</v>
      </c>
      <c r="C233" t="s">
        <v>175</v>
      </c>
      <c r="D233" t="s">
        <v>295</v>
      </c>
      <c r="E233" t="s">
        <v>463</v>
      </c>
      <c r="F233">
        <v>1.78</v>
      </c>
      <c r="G233">
        <v>5.3</v>
      </c>
      <c r="H233">
        <v>3.35</v>
      </c>
      <c r="I233">
        <v>1.46</v>
      </c>
      <c r="J233" t="s">
        <v>564</v>
      </c>
      <c r="K233">
        <v>2</v>
      </c>
      <c r="L233">
        <v>1</v>
      </c>
      <c r="M233">
        <v>1</v>
      </c>
      <c r="N233">
        <f t="shared" si="8"/>
        <v>0.43009999999999998</v>
      </c>
      <c r="O233">
        <f t="shared" si="9"/>
        <v>3</v>
      </c>
    </row>
    <row r="234" spans="1:15" x14ac:dyDescent="0.3">
      <c r="A234" t="s">
        <v>35</v>
      </c>
      <c r="B234" t="s">
        <v>78</v>
      </c>
      <c r="C234" t="s">
        <v>178</v>
      </c>
      <c r="D234" t="s">
        <v>296</v>
      </c>
      <c r="E234" t="s">
        <v>464</v>
      </c>
      <c r="F234">
        <v>1.61</v>
      </c>
      <c r="G234">
        <v>6.2</v>
      </c>
      <c r="H234">
        <v>4.3</v>
      </c>
      <c r="I234">
        <v>1.35</v>
      </c>
      <c r="J234" t="s">
        <v>564</v>
      </c>
      <c r="K234">
        <v>1</v>
      </c>
      <c r="L234">
        <v>2</v>
      </c>
      <c r="M234">
        <v>1</v>
      </c>
      <c r="N234">
        <f t="shared" si="8"/>
        <v>0.3272500000000001</v>
      </c>
      <c r="O234">
        <f t="shared" si="9"/>
        <v>3</v>
      </c>
    </row>
    <row r="235" spans="1:15" x14ac:dyDescent="0.3">
      <c r="A235" t="s">
        <v>35</v>
      </c>
      <c r="B235" t="s">
        <v>80</v>
      </c>
      <c r="C235" t="s">
        <v>179</v>
      </c>
      <c r="D235" t="s">
        <v>297</v>
      </c>
      <c r="E235" t="s">
        <v>465</v>
      </c>
      <c r="F235">
        <v>1.55</v>
      </c>
      <c r="G235">
        <v>6.4</v>
      </c>
      <c r="H235">
        <v>4</v>
      </c>
      <c r="I235">
        <v>1.35</v>
      </c>
      <c r="J235" t="s">
        <v>564</v>
      </c>
      <c r="K235">
        <v>4</v>
      </c>
      <c r="L235">
        <v>2</v>
      </c>
      <c r="M235">
        <v>1</v>
      </c>
      <c r="N235">
        <f t="shared" si="8"/>
        <v>0.3272500000000001</v>
      </c>
      <c r="O235">
        <f t="shared" si="9"/>
        <v>6</v>
      </c>
    </row>
    <row r="236" spans="1:15" x14ac:dyDescent="0.3">
      <c r="A236" t="s">
        <v>35</v>
      </c>
      <c r="B236" t="s">
        <v>90</v>
      </c>
      <c r="C236" t="s">
        <v>132</v>
      </c>
      <c r="D236" t="s">
        <v>298</v>
      </c>
      <c r="E236" t="s">
        <v>418</v>
      </c>
      <c r="F236">
        <v>2.02</v>
      </c>
      <c r="G236">
        <v>5</v>
      </c>
      <c r="H236">
        <v>3.2</v>
      </c>
      <c r="I236">
        <v>1.59</v>
      </c>
      <c r="J236" t="s">
        <v>564</v>
      </c>
      <c r="K236">
        <v>3</v>
      </c>
      <c r="L236">
        <v>0</v>
      </c>
      <c r="M236">
        <v>1</v>
      </c>
      <c r="N236">
        <f t="shared" si="8"/>
        <v>0.55165000000000008</v>
      </c>
      <c r="O236">
        <f t="shared" si="9"/>
        <v>3</v>
      </c>
    </row>
    <row r="237" spans="1:15" x14ac:dyDescent="0.3">
      <c r="A237" t="s">
        <v>35</v>
      </c>
      <c r="B237" t="s">
        <v>74</v>
      </c>
      <c r="C237" t="s">
        <v>180</v>
      </c>
      <c r="D237" t="s">
        <v>299</v>
      </c>
      <c r="E237" t="s">
        <v>466</v>
      </c>
      <c r="F237">
        <v>1.59</v>
      </c>
      <c r="G237">
        <v>6.2</v>
      </c>
      <c r="H237">
        <v>4.4000000000000004</v>
      </c>
      <c r="I237">
        <v>1.37</v>
      </c>
      <c r="J237" t="s">
        <v>564</v>
      </c>
      <c r="K237">
        <v>0</v>
      </c>
      <c r="L237">
        <v>0</v>
      </c>
      <c r="M237">
        <v>0</v>
      </c>
      <c r="N237">
        <f t="shared" si="8"/>
        <v>-1</v>
      </c>
      <c r="O237">
        <f t="shared" si="9"/>
        <v>0</v>
      </c>
    </row>
    <row r="238" spans="1:15" x14ac:dyDescent="0.3">
      <c r="A238" t="s">
        <v>35</v>
      </c>
      <c r="B238" t="s">
        <v>81</v>
      </c>
      <c r="C238" t="s">
        <v>176</v>
      </c>
      <c r="D238" t="s">
        <v>300</v>
      </c>
      <c r="E238" t="s">
        <v>467</v>
      </c>
      <c r="F238">
        <v>1.97</v>
      </c>
      <c r="G238">
        <v>4.5</v>
      </c>
      <c r="H238">
        <v>3.15</v>
      </c>
      <c r="I238">
        <v>1.56</v>
      </c>
      <c r="J238" t="s">
        <v>564</v>
      </c>
      <c r="K238">
        <v>0</v>
      </c>
      <c r="L238">
        <v>2</v>
      </c>
      <c r="M238">
        <v>1</v>
      </c>
      <c r="N238">
        <f t="shared" si="8"/>
        <v>0.52360000000000007</v>
      </c>
      <c r="O238">
        <f t="shared" si="9"/>
        <v>2</v>
      </c>
    </row>
    <row r="239" spans="1:15" x14ac:dyDescent="0.3">
      <c r="A239" t="s">
        <v>35</v>
      </c>
      <c r="B239" t="s">
        <v>100</v>
      </c>
      <c r="C239" t="s">
        <v>168</v>
      </c>
      <c r="D239" t="s">
        <v>301</v>
      </c>
      <c r="E239" t="s">
        <v>468</v>
      </c>
      <c r="F239">
        <v>5.7</v>
      </c>
      <c r="G239">
        <v>1.62</v>
      </c>
      <c r="H239">
        <v>3.85</v>
      </c>
      <c r="I239">
        <v>1.41</v>
      </c>
      <c r="J239" t="s">
        <v>564</v>
      </c>
      <c r="K239">
        <v>1</v>
      </c>
      <c r="L239">
        <v>1</v>
      </c>
      <c r="M239">
        <v>1</v>
      </c>
      <c r="N239">
        <f t="shared" si="8"/>
        <v>0.38334999999999997</v>
      </c>
      <c r="O239">
        <f t="shared" si="9"/>
        <v>2</v>
      </c>
    </row>
    <row r="240" spans="1:15" x14ac:dyDescent="0.3">
      <c r="A240" t="s">
        <v>35</v>
      </c>
      <c r="B240" t="s">
        <v>107</v>
      </c>
      <c r="C240" t="s">
        <v>174</v>
      </c>
      <c r="D240" t="s">
        <v>302</v>
      </c>
      <c r="E240" t="s">
        <v>324</v>
      </c>
      <c r="F240">
        <v>1.82</v>
      </c>
      <c r="G240">
        <v>5.4</v>
      </c>
      <c r="H240">
        <v>3.55</v>
      </c>
      <c r="I240">
        <v>1.47</v>
      </c>
      <c r="J240" t="s">
        <v>564</v>
      </c>
      <c r="K240">
        <v>1</v>
      </c>
      <c r="L240">
        <v>2</v>
      </c>
      <c r="M240">
        <v>1</v>
      </c>
      <c r="N240">
        <f t="shared" si="8"/>
        <v>0.43945000000000001</v>
      </c>
      <c r="O240">
        <f t="shared" si="9"/>
        <v>3</v>
      </c>
    </row>
    <row r="241" spans="1:15" x14ac:dyDescent="0.3">
      <c r="A241" t="s">
        <v>691</v>
      </c>
      <c r="B241" t="s">
        <v>692</v>
      </c>
      <c r="C241" t="s">
        <v>222</v>
      </c>
      <c r="D241" t="s">
        <v>693</v>
      </c>
      <c r="E241" t="s">
        <v>397</v>
      </c>
      <c r="F241">
        <v>4.5</v>
      </c>
      <c r="G241">
        <v>1.92</v>
      </c>
      <c r="H241">
        <v>3.05</v>
      </c>
      <c r="I241">
        <v>1.54</v>
      </c>
      <c r="J241" t="s">
        <v>564</v>
      </c>
      <c r="K241">
        <v>1</v>
      </c>
      <c r="L241">
        <v>0</v>
      </c>
      <c r="M241">
        <v>0</v>
      </c>
      <c r="N241">
        <f t="shared" si="8"/>
        <v>-1</v>
      </c>
      <c r="O241">
        <f t="shared" si="9"/>
        <v>1</v>
      </c>
    </row>
    <row r="242" spans="1:15" x14ac:dyDescent="0.3">
      <c r="A242" t="s">
        <v>694</v>
      </c>
      <c r="B242" t="s">
        <v>81</v>
      </c>
      <c r="C242" t="s">
        <v>145</v>
      </c>
      <c r="D242" t="s">
        <v>695</v>
      </c>
      <c r="E242" t="s">
        <v>696</v>
      </c>
      <c r="F242">
        <v>4.8</v>
      </c>
      <c r="G242">
        <v>1.9</v>
      </c>
      <c r="H242">
        <v>3.7</v>
      </c>
      <c r="I242">
        <v>1.46</v>
      </c>
      <c r="J242" t="s">
        <v>564</v>
      </c>
      <c r="K242">
        <v>1</v>
      </c>
      <c r="L242">
        <v>1</v>
      </c>
      <c r="M242">
        <v>0</v>
      </c>
      <c r="N242">
        <f t="shared" si="8"/>
        <v>-1</v>
      </c>
      <c r="O242">
        <f t="shared" si="9"/>
        <v>2</v>
      </c>
    </row>
    <row r="243" spans="1:15" x14ac:dyDescent="0.3">
      <c r="A243" t="s">
        <v>697</v>
      </c>
      <c r="B243" t="s">
        <v>698</v>
      </c>
      <c r="C243" t="s">
        <v>136</v>
      </c>
      <c r="D243" t="s">
        <v>234</v>
      </c>
      <c r="E243" t="s">
        <v>699</v>
      </c>
      <c r="F243">
        <v>4.5999999999999996</v>
      </c>
      <c r="G243">
        <v>1.88</v>
      </c>
      <c r="H243">
        <v>3.5</v>
      </c>
      <c r="I243">
        <v>1.5</v>
      </c>
      <c r="J243" t="s">
        <v>564</v>
      </c>
      <c r="K243">
        <v>1</v>
      </c>
      <c r="L243">
        <v>3</v>
      </c>
      <c r="M243">
        <v>1</v>
      </c>
      <c r="N243">
        <f t="shared" si="8"/>
        <v>0.46750000000000003</v>
      </c>
      <c r="O243">
        <f t="shared" si="9"/>
        <v>4</v>
      </c>
    </row>
    <row r="244" spans="1:15" x14ac:dyDescent="0.3">
      <c r="A244" t="s">
        <v>697</v>
      </c>
      <c r="B244" t="s">
        <v>74</v>
      </c>
      <c r="C244" t="s">
        <v>700</v>
      </c>
      <c r="D244" t="s">
        <v>701</v>
      </c>
      <c r="E244" t="s">
        <v>702</v>
      </c>
      <c r="F244">
        <v>4.5</v>
      </c>
      <c r="G244">
        <v>2.08</v>
      </c>
      <c r="H244">
        <v>2.98</v>
      </c>
      <c r="I244">
        <v>1.63</v>
      </c>
      <c r="J244" t="s">
        <v>564</v>
      </c>
      <c r="K244">
        <v>0</v>
      </c>
      <c r="L244">
        <v>0</v>
      </c>
      <c r="M244">
        <v>0</v>
      </c>
      <c r="N244">
        <f t="shared" si="8"/>
        <v>-1</v>
      </c>
      <c r="O244">
        <f t="shared" si="9"/>
        <v>0</v>
      </c>
    </row>
    <row r="245" spans="1:15" x14ac:dyDescent="0.3">
      <c r="A245" t="s">
        <v>697</v>
      </c>
      <c r="B245" t="s">
        <v>92</v>
      </c>
      <c r="C245" t="s">
        <v>193</v>
      </c>
      <c r="D245" t="s">
        <v>703</v>
      </c>
      <c r="E245" t="s">
        <v>704</v>
      </c>
      <c r="F245">
        <v>1.91</v>
      </c>
      <c r="G245">
        <v>5</v>
      </c>
      <c r="H245">
        <v>3.45</v>
      </c>
      <c r="I245">
        <v>1.5</v>
      </c>
      <c r="J245" t="s">
        <v>564</v>
      </c>
      <c r="K245">
        <v>0</v>
      </c>
      <c r="L245">
        <v>1</v>
      </c>
      <c r="M245">
        <v>1</v>
      </c>
      <c r="N245">
        <f t="shared" si="8"/>
        <v>0.46750000000000003</v>
      </c>
      <c r="O245">
        <f t="shared" si="9"/>
        <v>1</v>
      </c>
    </row>
    <row r="246" spans="1:15" x14ac:dyDescent="0.3">
      <c r="A246" t="s">
        <v>705</v>
      </c>
      <c r="B246" t="s">
        <v>706</v>
      </c>
      <c r="C246" t="s">
        <v>707</v>
      </c>
      <c r="D246" t="s">
        <v>708</v>
      </c>
      <c r="E246" t="s">
        <v>709</v>
      </c>
      <c r="F246">
        <v>1.6</v>
      </c>
      <c r="G246">
        <v>5</v>
      </c>
      <c r="H246">
        <v>3.55</v>
      </c>
      <c r="I246">
        <v>1.42</v>
      </c>
      <c r="J246" t="s">
        <v>564</v>
      </c>
      <c r="K246">
        <v>4</v>
      </c>
      <c r="L246">
        <v>2</v>
      </c>
      <c r="M246">
        <v>1</v>
      </c>
      <c r="N246">
        <f t="shared" ref="N246:N261" si="10">IF(M246=1,0.935*(I246-1),-1)</f>
        <v>0.39269999999999994</v>
      </c>
      <c r="O246">
        <f t="shared" ref="O246:O261" si="11">K246+L246</f>
        <v>6</v>
      </c>
    </row>
    <row r="247" spans="1:15" x14ac:dyDescent="0.3">
      <c r="A247" t="s">
        <v>705</v>
      </c>
      <c r="B247" t="s">
        <v>120</v>
      </c>
      <c r="C247" t="s">
        <v>175</v>
      </c>
      <c r="D247" t="s">
        <v>710</v>
      </c>
      <c r="E247" t="s">
        <v>463</v>
      </c>
      <c r="F247">
        <v>5.8</v>
      </c>
      <c r="G247">
        <v>1.66</v>
      </c>
      <c r="H247">
        <v>3.85</v>
      </c>
      <c r="I247">
        <v>1.45</v>
      </c>
      <c r="J247" t="s">
        <v>564</v>
      </c>
      <c r="K247">
        <v>0</v>
      </c>
      <c r="L247">
        <v>2</v>
      </c>
      <c r="M247">
        <v>1</v>
      </c>
      <c r="N247">
        <f t="shared" si="10"/>
        <v>0.42074999999999996</v>
      </c>
      <c r="O247">
        <f t="shared" si="11"/>
        <v>2</v>
      </c>
    </row>
    <row r="248" spans="1:15" x14ac:dyDescent="0.3">
      <c r="A248" t="s">
        <v>705</v>
      </c>
      <c r="B248" t="s">
        <v>108</v>
      </c>
      <c r="C248" t="s">
        <v>185</v>
      </c>
      <c r="D248" t="s">
        <v>711</v>
      </c>
      <c r="E248" t="s">
        <v>712</v>
      </c>
      <c r="F248">
        <v>1.94</v>
      </c>
      <c r="G248">
        <v>4.7</v>
      </c>
      <c r="H248">
        <v>3.35</v>
      </c>
      <c r="I248">
        <v>1.53</v>
      </c>
      <c r="J248" t="s">
        <v>564</v>
      </c>
      <c r="K248">
        <v>0</v>
      </c>
      <c r="L248">
        <v>1</v>
      </c>
      <c r="M248">
        <v>0</v>
      </c>
      <c r="N248">
        <f t="shared" si="10"/>
        <v>-1</v>
      </c>
      <c r="O248">
        <f t="shared" si="11"/>
        <v>1</v>
      </c>
    </row>
    <row r="249" spans="1:15" x14ac:dyDescent="0.3">
      <c r="A249" t="s">
        <v>705</v>
      </c>
      <c r="B249" t="s">
        <v>81</v>
      </c>
      <c r="C249" t="s">
        <v>141</v>
      </c>
      <c r="D249" t="s">
        <v>522</v>
      </c>
      <c r="E249" t="s">
        <v>271</v>
      </c>
      <c r="F249">
        <v>5.6</v>
      </c>
      <c r="G249">
        <v>1.86</v>
      </c>
      <c r="H249">
        <v>3.4</v>
      </c>
      <c r="I249">
        <v>1.51</v>
      </c>
      <c r="J249" t="s">
        <v>564</v>
      </c>
      <c r="K249">
        <v>0</v>
      </c>
      <c r="L249">
        <v>3</v>
      </c>
      <c r="M249">
        <v>0</v>
      </c>
      <c r="N249">
        <f t="shared" si="10"/>
        <v>-1</v>
      </c>
      <c r="O249">
        <f t="shared" si="11"/>
        <v>3</v>
      </c>
    </row>
    <row r="250" spans="1:15" x14ac:dyDescent="0.3">
      <c r="A250" t="s">
        <v>713</v>
      </c>
      <c r="B250" t="s">
        <v>80</v>
      </c>
      <c r="C250" t="s">
        <v>156</v>
      </c>
      <c r="D250" t="s">
        <v>714</v>
      </c>
      <c r="E250" t="s">
        <v>315</v>
      </c>
      <c r="F250">
        <v>2.06</v>
      </c>
      <c r="G250">
        <v>4.3</v>
      </c>
      <c r="H250">
        <v>3.4</v>
      </c>
      <c r="I250">
        <v>1.51</v>
      </c>
      <c r="J250" t="s">
        <v>564</v>
      </c>
      <c r="K250">
        <v>3</v>
      </c>
      <c r="L250">
        <v>1</v>
      </c>
      <c r="M250">
        <v>1</v>
      </c>
      <c r="N250">
        <f t="shared" si="10"/>
        <v>0.47685000000000005</v>
      </c>
      <c r="O250">
        <f t="shared" si="11"/>
        <v>4</v>
      </c>
    </row>
    <row r="251" spans="1:15" x14ac:dyDescent="0.3">
      <c r="A251" t="s">
        <v>713</v>
      </c>
      <c r="B251" t="s">
        <v>90</v>
      </c>
      <c r="C251" t="s">
        <v>217</v>
      </c>
      <c r="D251" t="s">
        <v>715</v>
      </c>
      <c r="E251" t="s">
        <v>381</v>
      </c>
      <c r="F251">
        <v>5.7</v>
      </c>
      <c r="G251">
        <v>1.76</v>
      </c>
      <c r="H251">
        <v>3.65</v>
      </c>
      <c r="I251">
        <v>1.48</v>
      </c>
      <c r="J251" t="s">
        <v>564</v>
      </c>
      <c r="K251">
        <v>0</v>
      </c>
      <c r="L251">
        <v>2</v>
      </c>
      <c r="M251">
        <v>0</v>
      </c>
      <c r="N251">
        <f t="shared" si="10"/>
        <v>-1</v>
      </c>
      <c r="O251">
        <f t="shared" si="11"/>
        <v>2</v>
      </c>
    </row>
    <row r="252" spans="1:15" x14ac:dyDescent="0.3">
      <c r="A252" t="s">
        <v>713</v>
      </c>
      <c r="B252" t="s">
        <v>94</v>
      </c>
      <c r="C252" t="s">
        <v>154</v>
      </c>
      <c r="D252" t="s">
        <v>263</v>
      </c>
      <c r="E252" t="s">
        <v>716</v>
      </c>
      <c r="F252">
        <v>1.83</v>
      </c>
      <c r="G252">
        <v>5.4</v>
      </c>
      <c r="H252">
        <v>3.6</v>
      </c>
      <c r="I252">
        <v>1.48</v>
      </c>
      <c r="J252" t="s">
        <v>564</v>
      </c>
      <c r="K252">
        <v>2</v>
      </c>
      <c r="L252">
        <v>3</v>
      </c>
      <c r="M252">
        <v>1</v>
      </c>
      <c r="N252">
        <f t="shared" si="10"/>
        <v>0.44880000000000003</v>
      </c>
      <c r="O252">
        <f t="shared" si="11"/>
        <v>5</v>
      </c>
    </row>
    <row r="253" spans="1:15" x14ac:dyDescent="0.3">
      <c r="A253" t="s">
        <v>713</v>
      </c>
      <c r="B253" t="s">
        <v>97</v>
      </c>
      <c r="C253" t="s">
        <v>647</v>
      </c>
      <c r="D253" t="s">
        <v>717</v>
      </c>
      <c r="E253" t="s">
        <v>718</v>
      </c>
      <c r="F253">
        <v>1.61</v>
      </c>
      <c r="G253">
        <v>6</v>
      </c>
      <c r="H253">
        <v>3.8</v>
      </c>
      <c r="I253">
        <v>1.42</v>
      </c>
      <c r="J253" t="s">
        <v>564</v>
      </c>
      <c r="K253">
        <v>2</v>
      </c>
      <c r="L253">
        <v>0</v>
      </c>
      <c r="M253">
        <v>1</v>
      </c>
      <c r="N253">
        <f t="shared" si="10"/>
        <v>0.39269999999999994</v>
      </c>
      <c r="O253">
        <f t="shared" si="11"/>
        <v>2</v>
      </c>
    </row>
    <row r="254" spans="1:15" x14ac:dyDescent="0.3">
      <c r="A254" t="s">
        <v>713</v>
      </c>
      <c r="B254" t="s">
        <v>111</v>
      </c>
      <c r="C254" t="s">
        <v>168</v>
      </c>
      <c r="D254" t="s">
        <v>636</v>
      </c>
      <c r="E254" t="s">
        <v>719</v>
      </c>
      <c r="F254">
        <v>1.6</v>
      </c>
      <c r="G254">
        <v>6</v>
      </c>
      <c r="H254">
        <v>4.2</v>
      </c>
      <c r="I254">
        <v>1.37</v>
      </c>
      <c r="J254" t="s">
        <v>564</v>
      </c>
      <c r="K254">
        <v>0</v>
      </c>
      <c r="L254">
        <v>0</v>
      </c>
      <c r="M254">
        <v>0</v>
      </c>
      <c r="N254">
        <f t="shared" si="10"/>
        <v>-1</v>
      </c>
      <c r="O254">
        <f t="shared" si="11"/>
        <v>0</v>
      </c>
    </row>
    <row r="255" spans="1:15" x14ac:dyDescent="0.3">
      <c r="A255" t="s">
        <v>720</v>
      </c>
      <c r="B255" t="s">
        <v>126</v>
      </c>
      <c r="C255" t="s">
        <v>177</v>
      </c>
      <c r="D255" t="s">
        <v>294</v>
      </c>
      <c r="E255" t="s">
        <v>721</v>
      </c>
      <c r="F255">
        <v>1.73</v>
      </c>
      <c r="G255">
        <v>4.9000000000000004</v>
      </c>
      <c r="H255">
        <v>3.5</v>
      </c>
      <c r="I255">
        <v>1.43</v>
      </c>
      <c r="J255" t="s">
        <v>564</v>
      </c>
      <c r="K255">
        <v>2</v>
      </c>
      <c r="L255">
        <v>0</v>
      </c>
      <c r="M255">
        <v>0</v>
      </c>
      <c r="N255">
        <f t="shared" si="10"/>
        <v>-1</v>
      </c>
      <c r="O255">
        <f t="shared" si="11"/>
        <v>2</v>
      </c>
    </row>
    <row r="256" spans="1:15" x14ac:dyDescent="0.3">
      <c r="A256" t="s">
        <v>720</v>
      </c>
      <c r="B256" t="s">
        <v>78</v>
      </c>
      <c r="C256" t="s">
        <v>131</v>
      </c>
      <c r="D256" t="s">
        <v>232</v>
      </c>
      <c r="E256" t="s">
        <v>722</v>
      </c>
      <c r="F256">
        <v>1.92</v>
      </c>
      <c r="G256">
        <v>4.8</v>
      </c>
      <c r="H256">
        <v>3.15</v>
      </c>
      <c r="I256">
        <v>1.57</v>
      </c>
      <c r="J256" t="s">
        <v>564</v>
      </c>
      <c r="K256">
        <v>0</v>
      </c>
      <c r="L256">
        <v>2</v>
      </c>
      <c r="M256">
        <v>1</v>
      </c>
      <c r="N256">
        <f t="shared" si="10"/>
        <v>0.53295000000000003</v>
      </c>
      <c r="O256">
        <f t="shared" si="11"/>
        <v>2</v>
      </c>
    </row>
    <row r="257" spans="1:15" x14ac:dyDescent="0.3">
      <c r="A257" t="s">
        <v>720</v>
      </c>
      <c r="B257" t="s">
        <v>84</v>
      </c>
      <c r="C257" t="s">
        <v>723</v>
      </c>
      <c r="D257" t="s">
        <v>724</v>
      </c>
      <c r="E257" t="s">
        <v>725</v>
      </c>
      <c r="F257">
        <v>2.16</v>
      </c>
      <c r="G257">
        <v>4.5</v>
      </c>
      <c r="H257">
        <v>2.92</v>
      </c>
      <c r="I257">
        <v>1.63</v>
      </c>
      <c r="J257" t="s">
        <v>564</v>
      </c>
      <c r="K257">
        <v>3</v>
      </c>
      <c r="L257">
        <v>0</v>
      </c>
      <c r="M257">
        <v>1</v>
      </c>
      <c r="N257">
        <f t="shared" si="10"/>
        <v>0.58904999999999996</v>
      </c>
      <c r="O257">
        <f t="shared" si="11"/>
        <v>3</v>
      </c>
    </row>
    <row r="258" spans="1:15" x14ac:dyDescent="0.3">
      <c r="A258" t="s">
        <v>720</v>
      </c>
      <c r="B258" t="s">
        <v>122</v>
      </c>
      <c r="C258" t="s">
        <v>143</v>
      </c>
      <c r="D258" t="s">
        <v>726</v>
      </c>
      <c r="E258" t="s">
        <v>727</v>
      </c>
      <c r="F258">
        <v>1.71</v>
      </c>
      <c r="G258">
        <v>5.4</v>
      </c>
      <c r="H258">
        <v>3.5</v>
      </c>
      <c r="I258">
        <v>1.47</v>
      </c>
      <c r="J258" t="s">
        <v>564</v>
      </c>
      <c r="K258">
        <v>1</v>
      </c>
      <c r="L258">
        <v>0</v>
      </c>
      <c r="M258">
        <v>0</v>
      </c>
      <c r="N258">
        <f t="shared" si="10"/>
        <v>-1</v>
      </c>
      <c r="O258">
        <f t="shared" si="11"/>
        <v>1</v>
      </c>
    </row>
    <row r="259" spans="1:15" x14ac:dyDescent="0.3">
      <c r="A259" t="s">
        <v>728</v>
      </c>
      <c r="B259" t="s">
        <v>105</v>
      </c>
      <c r="C259" t="s">
        <v>729</v>
      </c>
      <c r="D259" t="s">
        <v>730</v>
      </c>
      <c r="E259" t="s">
        <v>731</v>
      </c>
      <c r="F259">
        <v>1.71</v>
      </c>
      <c r="G259">
        <v>6</v>
      </c>
      <c r="H259">
        <v>3.65</v>
      </c>
      <c r="I259">
        <v>1.44</v>
      </c>
      <c r="J259" t="s">
        <v>564</v>
      </c>
      <c r="K259">
        <v>2</v>
      </c>
      <c r="L259">
        <v>1</v>
      </c>
      <c r="M259">
        <v>1</v>
      </c>
      <c r="N259">
        <f t="shared" si="10"/>
        <v>0.41139999999999999</v>
      </c>
      <c r="O259">
        <f t="shared" si="11"/>
        <v>3</v>
      </c>
    </row>
    <row r="260" spans="1:15" x14ac:dyDescent="0.3">
      <c r="A260" t="s">
        <v>728</v>
      </c>
      <c r="B260" t="s">
        <v>82</v>
      </c>
      <c r="C260" t="s">
        <v>127</v>
      </c>
      <c r="D260" t="s">
        <v>732</v>
      </c>
      <c r="E260" t="s">
        <v>733</v>
      </c>
      <c r="F260">
        <v>1.89</v>
      </c>
      <c r="G260">
        <v>5.2</v>
      </c>
      <c r="H260">
        <v>3.55</v>
      </c>
      <c r="I260">
        <v>1.52</v>
      </c>
      <c r="J260" t="s">
        <v>564</v>
      </c>
      <c r="K260">
        <v>3</v>
      </c>
      <c r="L260">
        <v>0</v>
      </c>
      <c r="M260">
        <v>1</v>
      </c>
      <c r="N260">
        <f t="shared" si="10"/>
        <v>0.48620000000000002</v>
      </c>
      <c r="O260">
        <f t="shared" si="11"/>
        <v>3</v>
      </c>
    </row>
    <row r="261" spans="1:15" x14ac:dyDescent="0.3">
      <c r="A261" t="s">
        <v>728</v>
      </c>
      <c r="B261" t="s">
        <v>118</v>
      </c>
      <c r="C261" t="s">
        <v>211</v>
      </c>
      <c r="D261" t="s">
        <v>734</v>
      </c>
      <c r="E261" t="s">
        <v>735</v>
      </c>
      <c r="F261">
        <v>2.2000000000000002</v>
      </c>
      <c r="G261">
        <v>4.5</v>
      </c>
      <c r="H261">
        <v>2.94</v>
      </c>
      <c r="I261">
        <v>1.69</v>
      </c>
      <c r="J261" t="s">
        <v>564</v>
      </c>
      <c r="K261">
        <v>3</v>
      </c>
      <c r="L261">
        <v>1</v>
      </c>
      <c r="M261">
        <v>1</v>
      </c>
      <c r="N261">
        <f t="shared" si="10"/>
        <v>0.64515</v>
      </c>
      <c r="O261">
        <f t="shared" si="11"/>
        <v>4</v>
      </c>
    </row>
  </sheetData>
  <autoFilter ref="A1:O2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Rodrigues</cp:lastModifiedBy>
  <dcterms:created xsi:type="dcterms:W3CDTF">2026-01-26T22:23:12Z</dcterms:created>
  <dcterms:modified xsi:type="dcterms:W3CDTF">2026-02-03T01:47:55Z</dcterms:modified>
</cp:coreProperties>
</file>