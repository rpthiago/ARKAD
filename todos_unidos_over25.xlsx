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1df80ec97692de0/curso python/MENTORIA LEANDRO/PROFIT_TABELA_DINAMICA/OVER25/"/>
    </mc:Choice>
  </mc:AlternateContent>
  <xr:revisionPtr revIDLastSave="64" documentId="11_5415C3E43AC3CE344D2C4C29C5AA01F1797AB1C5" xr6:coauthVersionLast="47" xr6:coauthVersionMax="47" xr10:uidLastSave="{FAD9B300-41A9-49A1-BF52-C8F95232ECC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5" i="1" l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O2" i="1"/>
  <c r="N2" i="1"/>
</calcChain>
</file>

<file path=xl/sharedStrings.xml><?xml version="1.0" encoding="utf-8"?>
<sst xmlns="http://schemas.openxmlformats.org/spreadsheetml/2006/main" count="1875" uniqueCount="708">
  <si>
    <t>Date</t>
  </si>
  <si>
    <t>Time</t>
  </si>
  <si>
    <t>League</t>
  </si>
  <si>
    <t>Home</t>
  </si>
  <si>
    <t>Away</t>
  </si>
  <si>
    <t>Odd_H</t>
  </si>
  <si>
    <t>Odd_A</t>
  </si>
  <si>
    <t>Odd_D</t>
  </si>
  <si>
    <t>Odd_Over25</t>
  </si>
  <si>
    <t>METODOS</t>
  </si>
  <si>
    <t>HOME</t>
  </si>
  <si>
    <t>AWAY</t>
  </si>
  <si>
    <t>1/0</t>
  </si>
  <si>
    <t>PROFIT</t>
  </si>
  <si>
    <t>TOTAL GOLS</t>
  </si>
  <si>
    <t>2025-12-01</t>
  </si>
  <si>
    <t>2025-12-03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</si>
  <si>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</si>
  <si>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</si>
  <si>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</si>
  <si>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</si>
  <si>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</si>
  <si>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</si>
  <si>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</si>
  <si>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</si>
  <si>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</si>
  <si>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</si>
  <si>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2025-12-17</t>
  </si>
  <si>
    <t>2025-12-19</t>
  </si>
  <si>
    <t>2025-12-20</t>
  </si>
  <si>
    <t>2025-12-21</t>
  </si>
  <si>
    <t>2025-12-22</t>
  </si>
  <si>
    <t>2025-12-23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</si>
  <si>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</si>
  <si>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</si>
  <si>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</si>
  <si>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</si>
  <si>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</si>
  <si>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</si>
  <si>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</si>
  <si>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</si>
  <si>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</si>
  <si>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</si>
  <si>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2026-01-06</t>
  </si>
  <si>
    <t>2026-01-07</t>
  </si>
  <si>
    <t>2026-01-09</t>
  </si>
  <si>
    <t>2026-01-10</t>
  </si>
  <si>
    <t>2026-01-11</t>
  </si>
  <si>
    <t>2026-01-12</t>
  </si>
  <si>
    <t>2026-01-13</t>
  </si>
  <si>
    <t>2026-01-14</t>
  </si>
  <si>
    <t>2026-01-16</t>
  </si>
  <si>
    <t>2026-01-17</t>
  </si>
  <si>
    <t>2026-01-18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</si>
  <si>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</si>
  <si>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</si>
  <si>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</si>
  <si>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</si>
  <si>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</si>
  <si>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</si>
  <si>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</si>
  <si>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</si>
  <si>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</si>
  <si>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</si>
  <si>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</si>
  <si>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2025-11-01</t>
  </si>
  <si>
    <t>2025-11-02</t>
  </si>
  <si>
    <t>2025-11-03</t>
  </si>
  <si>
    <t>2025-11-04</t>
  </si>
  <si>
    <t>2025-11-06</t>
  </si>
  <si>
    <t>2025-11-07</t>
  </si>
  <si>
    <t>2025-11-08</t>
  </si>
  <si>
    <t>2025-11-09</t>
  </si>
  <si>
    <t>2025-11-10</t>
  </si>
  <si>
    <t>2025-11-12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</si>
  <si>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</si>
  <si>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</si>
  <si>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</si>
  <si>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</si>
  <si>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</si>
  <si>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</si>
  <si>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</si>
  <si>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</si>
  <si>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</si>
  <si>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</si>
  <si>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2025-11-27</t>
  </si>
  <si>
    <t>2025-11-28</t>
  </si>
  <si>
    <t>2025-11-29</t>
  </si>
  <si>
    <t>2025-11-30</t>
  </si>
  <si>
    <t>17:00:00</t>
  </si>
  <si>
    <t>19:00:00</t>
  </si>
  <si>
    <t>15:30:00</t>
  </si>
  <si>
    <t>16:45:00</t>
  </si>
  <si>
    <t>11:00:00</t>
  </si>
  <si>
    <t>20:00:00</t>
  </si>
  <si>
    <t>09:00:00</t>
  </si>
  <si>
    <t>10:30:00</t>
  </si>
  <si>
    <t>13:00:00</t>
  </si>
  <si>
    <t>16:00:00</t>
  </si>
  <si>
    <t>08:30:00</t>
  </si>
  <si>
    <t>09:30:00</t>
  </si>
  <si>
    <t>15:00:00</t>
  </si>
  <si>
    <t>14:30:00</t>
  </si>
  <si>
    <t>22:00:00</t>
  </si>
  <si>
    <t>10:00:00</t>
  </si>
  <si>
    <t>10:45:00</t>
  </si>
  <si>
    <t>14:15:00</t>
  </si>
  <si>
    <t>23:00:00</t>
  </si>
  <si>
    <t>12:00:00</t>
  </si>
  <si>
    <t>13:30:00</t>
  </si>
  <si>
    <t>14:00:00</t>
  </si>
  <si>
    <t>12:45:00</t>
  </si>
  <si>
    <t>10:25:00</t>
  </si>
  <si>
    <t>17:45:00</t>
  </si>
  <si>
    <t>11:55:00</t>
  </si>
  <si>
    <t>16:30:00</t>
  </si>
  <si>
    <t>08:00:00</t>
  </si>
  <si>
    <t>13:10:00</t>
  </si>
  <si>
    <t>12:15:00</t>
  </si>
  <si>
    <t>13:15:00</t>
  </si>
  <si>
    <t>18:30:00</t>
  </si>
  <si>
    <t>21:30:00</t>
  </si>
  <si>
    <t>17:15:00</t>
  </si>
  <si>
    <t>22:30:00</t>
  </si>
  <si>
    <t>05:30:00</t>
  </si>
  <si>
    <t>12:30:00</t>
  </si>
  <si>
    <t>07:00:00</t>
  </si>
  <si>
    <t>19:30:00</t>
  </si>
  <si>
    <t>20:10:00</t>
  </si>
  <si>
    <t>21:00:00</t>
  </si>
  <si>
    <t>14:45:00</t>
  </si>
  <si>
    <t>21:15:00</t>
  </si>
  <si>
    <t>10:20:00</t>
  </si>
  <si>
    <t>02:00:00</t>
  </si>
  <si>
    <t>03:30:00</t>
  </si>
  <si>
    <t>13:45:00</t>
  </si>
  <si>
    <t>07:30:00</t>
  </si>
  <si>
    <t>03:00:00</t>
  </si>
  <si>
    <t>20:30:00</t>
  </si>
  <si>
    <t>13:35:00</t>
  </si>
  <si>
    <t>11:30:00</t>
  </si>
  <si>
    <t>11:05:00</t>
  </si>
  <si>
    <t>Argentinian Primera Division</t>
  </si>
  <si>
    <t>Brazilian Serie A</t>
  </si>
  <si>
    <t>French National</t>
  </si>
  <si>
    <t>Scottish Championship</t>
  </si>
  <si>
    <t>Croatian HNL</t>
  </si>
  <si>
    <t>Costa Rican Primera Division</t>
  </si>
  <si>
    <t>Bosnian Premier League</t>
  </si>
  <si>
    <t>Italian Serie C</t>
  </si>
  <si>
    <t>Turkish Super League</t>
  </si>
  <si>
    <t>Austrian Bundesliga</t>
  </si>
  <si>
    <t>Italian Serie B</t>
  </si>
  <si>
    <t>French Ligue 2</t>
  </si>
  <si>
    <t>English Sky Bet Championship</t>
  </si>
  <si>
    <t>Egyptian 2nd Division</t>
  </si>
  <si>
    <t>Egyptian League Cup</t>
  </si>
  <si>
    <t>FIFA Arab Cup</t>
  </si>
  <si>
    <t>Colombian Primera A</t>
  </si>
  <si>
    <t>Spanish Segunda Division</t>
  </si>
  <si>
    <t>Spanish La Liga</t>
  </si>
  <si>
    <t>Polish Ekstraklasa</t>
  </si>
  <si>
    <t>French Ligue 1</t>
  </si>
  <si>
    <t>Italian Serie A</t>
  </si>
  <si>
    <t>Spanish Primera Federación - Group 2</t>
  </si>
  <si>
    <t>English Sky Bet League 1</t>
  </si>
  <si>
    <t>Romanian Liga I</t>
  </si>
  <si>
    <t>Portuguese Primeira Liga</t>
  </si>
  <si>
    <t>Africa Cup of Nations</t>
  </si>
  <si>
    <t>Kuwaiti Emir Cup</t>
  </si>
  <si>
    <t>Belgian Pro League</t>
  </si>
  <si>
    <t>Algerian Ligue 2</t>
  </si>
  <si>
    <t>Algerian Ligue 1</t>
  </si>
  <si>
    <t>Gambian GFA League 1st Division</t>
  </si>
  <si>
    <t>English Sky Bet League 2</t>
  </si>
  <si>
    <t>Northern Irish Premiership</t>
  </si>
  <si>
    <t>Israeli National League</t>
  </si>
  <si>
    <t>Bahraini Premier</t>
  </si>
  <si>
    <t>Saudi Professional League</t>
  </si>
  <si>
    <t>Spanish Primera Federación - Group 1</t>
  </si>
  <si>
    <t>English Premier League</t>
  </si>
  <si>
    <t>Jamaican Premier League</t>
  </si>
  <si>
    <t>Kuwaiti Crown Prince Cup</t>
  </si>
  <si>
    <t>Maltese Premier League</t>
  </si>
  <si>
    <t>English FA Cup</t>
  </si>
  <si>
    <t>Brazilian Paulista Serie A1</t>
  </si>
  <si>
    <t>Greek Super League</t>
  </si>
  <si>
    <t>Spanish Copa del Rey</t>
  </si>
  <si>
    <t>Italian Coppa Italia</t>
  </si>
  <si>
    <t>Brazilian Cearense Matches</t>
  </si>
  <si>
    <t>Portuguese Cup</t>
  </si>
  <si>
    <t>Brazilian Gaucho Matches</t>
  </si>
  <si>
    <t>Brazilian Paulista Serie A2</t>
  </si>
  <si>
    <t>Brazilian Baiano Matches</t>
  </si>
  <si>
    <t>Indonesian Championship</t>
  </si>
  <si>
    <t>Spanish Segunda Federación - Group 3</t>
  </si>
  <si>
    <t>Albanian Superliga</t>
  </si>
  <si>
    <t>Brazilian Carioca Matches</t>
  </si>
  <si>
    <t>UEFA Champions League</t>
  </si>
  <si>
    <t>Brazilian Mineiro Matches</t>
  </si>
  <si>
    <t>Chilean Super Cup</t>
  </si>
  <si>
    <t>Azerbaijan Premier League</t>
  </si>
  <si>
    <t>Portuguese Segunda Liga</t>
  </si>
  <si>
    <t>Portuguese Liga 3</t>
  </si>
  <si>
    <t>Moroccan Botola Pro 1</t>
  </si>
  <si>
    <t>Spanish Segunda Federación - Group 5</t>
  </si>
  <si>
    <t>South African Premier Division</t>
  </si>
  <si>
    <t>Brazilian Goiano Matches</t>
  </si>
  <si>
    <t>Guatemalan Primera Division de Ascenso</t>
  </si>
  <si>
    <t>UEFA Europa League</t>
  </si>
  <si>
    <t>Ghanain Premier League</t>
  </si>
  <si>
    <t>Czech 1 Liga</t>
  </si>
  <si>
    <t>Uruguayan Primera Division</t>
  </si>
  <si>
    <t>Ukrainian Premier League</t>
  </si>
  <si>
    <t>Brazilian Serie B</t>
  </si>
  <si>
    <t>Tunisian Ligue Professionelle 1</t>
  </si>
  <si>
    <t>South Korean K3 League</t>
  </si>
  <si>
    <t>Chinese League 1</t>
  </si>
  <si>
    <t>Scottish League One</t>
  </si>
  <si>
    <t>Bulgarian A League</t>
  </si>
  <si>
    <t>Japanese J League 3</t>
  </si>
  <si>
    <t>FIFA World Cup Qualifiers - Europe</t>
  </si>
  <si>
    <t>FIFA World Cup Qualifiers - Africa</t>
  </si>
  <si>
    <t>Friendlies International</t>
  </si>
  <si>
    <t>FIFA World Cup Qualifiers - Americas</t>
  </si>
  <si>
    <t>Paraguayan Primera Division</t>
  </si>
  <si>
    <t>Ecuadorian Serie A</t>
  </si>
  <si>
    <t>Guatemalan Liga Nacional</t>
  </si>
  <si>
    <t>English National League South</t>
  </si>
  <si>
    <t>Saudi 1st Division</t>
  </si>
  <si>
    <t>Turkish 1 Lig</t>
  </si>
  <si>
    <t>German Bundesliga</t>
  </si>
  <si>
    <t>Japanese J League</t>
  </si>
  <si>
    <t>Barracas Central</t>
  </si>
  <si>
    <t>Fortaleza EC</t>
  </si>
  <si>
    <t>Dijon</t>
  </si>
  <si>
    <t>Morton</t>
  </si>
  <si>
    <t>Dinamo Zagreb</t>
  </si>
  <si>
    <t>Puntarenas F.C.</t>
  </si>
  <si>
    <t>Sarajevo</t>
  </si>
  <si>
    <t>Sassari Torres</t>
  </si>
  <si>
    <t>Kocaelispor</t>
  </si>
  <si>
    <t>Sturm Graz</t>
  </si>
  <si>
    <t>Atletico MG</t>
  </si>
  <si>
    <t>Boca Juniors</t>
  </si>
  <si>
    <t>Modena</t>
  </si>
  <si>
    <t>Lecco</t>
  </si>
  <si>
    <t>Reims</t>
  </si>
  <si>
    <t>Blackburn</t>
  </si>
  <si>
    <t>Ipswich</t>
  </si>
  <si>
    <t>La Viena FC</t>
  </si>
  <si>
    <t>Wadi Degla</t>
  </si>
  <si>
    <t>Algeria</t>
  </si>
  <si>
    <t>Junior FC Barranquilla</t>
  </si>
  <si>
    <t>Deportivo</t>
  </si>
  <si>
    <t>Zaragoza</t>
  </si>
  <si>
    <t>Sevilla</t>
  </si>
  <si>
    <t>Cittadella</t>
  </si>
  <si>
    <t>Rakow Czestochowa</t>
  </si>
  <si>
    <t>Lyon</t>
  </si>
  <si>
    <t>Fiorentina</t>
  </si>
  <si>
    <t>Gimnastic</t>
  </si>
  <si>
    <t>Deportivo Saprissa</t>
  </si>
  <si>
    <t>Valencia</t>
  </si>
  <si>
    <t>Stevenage</t>
  </si>
  <si>
    <t>Cesena</t>
  </si>
  <si>
    <t>Otelul Galati</t>
  </si>
  <si>
    <t>Livorno</t>
  </si>
  <si>
    <t>Lazio</t>
  </si>
  <si>
    <t>Osasuna</t>
  </si>
  <si>
    <t>Smouha</t>
  </si>
  <si>
    <t>Tondela</t>
  </si>
  <si>
    <t>South Africa</t>
  </si>
  <si>
    <t>Athletic Bilbao</t>
  </si>
  <si>
    <t>Kuwait SC</t>
  </si>
  <si>
    <t>Anderlecht</t>
  </si>
  <si>
    <t>ESM Kolea</t>
  </si>
  <si>
    <t>Paradou</t>
  </si>
  <si>
    <t>Sampdoria</t>
  </si>
  <si>
    <t>Juve Stabia</t>
  </si>
  <si>
    <t>Torino</t>
  </si>
  <si>
    <t>Gabon</t>
  </si>
  <si>
    <t>Medina United FC</t>
  </si>
  <si>
    <t>Walsall</t>
  </si>
  <si>
    <t>Bradford</t>
  </si>
  <si>
    <t>Larne</t>
  </si>
  <si>
    <t>Ceramica Cleopatra</t>
  </si>
  <si>
    <t>Cambridge Utd</t>
  </si>
  <si>
    <t>Bristol City</t>
  </si>
  <si>
    <t>MS Kfar Kasem</t>
  </si>
  <si>
    <t>Sitra</t>
  </si>
  <si>
    <t>Guimaraes</t>
  </si>
  <si>
    <t>Como</t>
  </si>
  <si>
    <t>Celta Vigo</t>
  </si>
  <si>
    <t>Al-Feiha</t>
  </si>
  <si>
    <t>Partick</t>
  </si>
  <si>
    <t>Mali</t>
  </si>
  <si>
    <t>Cavese 1919</t>
  </si>
  <si>
    <t>Hercules</t>
  </si>
  <si>
    <t>Talavera CF</t>
  </si>
  <si>
    <t>Sporting Gijon</t>
  </si>
  <si>
    <t>Tottenham</t>
  </si>
  <si>
    <t>Huddersfield</t>
  </si>
  <si>
    <t>Racing United FC</t>
  </si>
  <si>
    <t>Al Salmiyah</t>
  </si>
  <si>
    <t>Sliema Wanderers FC</t>
  </si>
  <si>
    <t>Brentford</t>
  </si>
  <si>
    <t>Everton</t>
  </si>
  <si>
    <t>Proxy Work Club</t>
  </si>
  <si>
    <t>MB Rouissat</t>
  </si>
  <si>
    <t>Preston</t>
  </si>
  <si>
    <t>CE Europa</t>
  </si>
  <si>
    <t>Udinese</t>
  </si>
  <si>
    <t>Villarreal</t>
  </si>
  <si>
    <t>Las Palmas</t>
  </si>
  <si>
    <t>Burgos</t>
  </si>
  <si>
    <t>Sao Bernardo</t>
  </si>
  <si>
    <t>Guarani</t>
  </si>
  <si>
    <t>Carpi</t>
  </si>
  <si>
    <t>Novara</t>
  </si>
  <si>
    <t>Levadiakos</t>
  </si>
  <si>
    <t>Inter</t>
  </si>
  <si>
    <t>Genoa</t>
  </si>
  <si>
    <t>Real Sociedad</t>
  </si>
  <si>
    <t>Roma</t>
  </si>
  <si>
    <t>Maracana CE</t>
  </si>
  <si>
    <t>Porto</t>
  </si>
  <si>
    <t>Inter de Santa Maria</t>
  </si>
  <si>
    <t>Santo Andre</t>
  </si>
  <si>
    <t>Alagoinhas AC</t>
  </si>
  <si>
    <t>Aswan FC</t>
  </si>
  <si>
    <t>Laval</t>
  </si>
  <si>
    <t>Athletic Bilbao B</t>
  </si>
  <si>
    <t>Fortaleza FC</t>
  </si>
  <si>
    <t>PS Barito Putera</t>
  </si>
  <si>
    <t>Gil Vicente</t>
  </si>
  <si>
    <t>Alverca</t>
  </si>
  <si>
    <t>Espanyol B</t>
  </si>
  <si>
    <t>Egnatia Rrogozhine</t>
  </si>
  <si>
    <t>Charleroi</t>
  </si>
  <si>
    <t>Dinamo Bucharest</t>
  </si>
  <si>
    <t>AEK Athens</t>
  </si>
  <si>
    <t>Watford</t>
  </si>
  <si>
    <t>Marica</t>
  </si>
  <si>
    <t>Atalanta</t>
  </si>
  <si>
    <t>Tombense MG</t>
  </si>
  <si>
    <t>Coquimbo Unido</t>
  </si>
  <si>
    <t>Flamengo</t>
  </si>
  <si>
    <t>Portmore Utd</t>
  </si>
  <si>
    <t>Boavista RJ</t>
  </si>
  <si>
    <t>Casa Pia</t>
  </si>
  <si>
    <t>Shamakhi FK</t>
  </si>
  <si>
    <t>Millwall</t>
  </si>
  <si>
    <t>AC Monza</t>
  </si>
  <si>
    <t>Maritimo</t>
  </si>
  <si>
    <t>Atletico Clube de Portugal</t>
  </si>
  <si>
    <t>Leicester</t>
  </si>
  <si>
    <t>Leganes</t>
  </si>
  <si>
    <t>MAS Maghrib A Fes</t>
  </si>
  <si>
    <t>Trabalhadores</t>
  </si>
  <si>
    <t>CA Tarazona</t>
  </si>
  <si>
    <t>Intercity Sant Joan C.F</t>
  </si>
  <si>
    <t>Juventud Torremolinos</t>
  </si>
  <si>
    <t>PFK Turan Tovuz</t>
  </si>
  <si>
    <t>Ascoli</t>
  </si>
  <si>
    <t>Amazulu</t>
  </si>
  <si>
    <t>Sudtirol</t>
  </si>
  <si>
    <t>Hajduk Split</t>
  </si>
  <si>
    <t>Club R Zemamra</t>
  </si>
  <si>
    <t>Famalicao</t>
  </si>
  <si>
    <t>FCSB</t>
  </si>
  <si>
    <t>Vila Nova</t>
  </si>
  <si>
    <t>Millonarios</t>
  </si>
  <si>
    <t>WA Tlemcen</t>
  </si>
  <si>
    <t>MK Dons</t>
  </si>
  <si>
    <t>Lincoln</t>
  </si>
  <si>
    <t>Wycombe</t>
  </si>
  <si>
    <t>Ind Medellin</t>
  </si>
  <si>
    <t>Internacional</t>
  </si>
  <si>
    <t>Oeste FC</t>
  </si>
  <si>
    <t>Deportivo Gomerano</t>
  </si>
  <si>
    <t>El Daklyeh</t>
  </si>
  <si>
    <t>Nottm Forest</t>
  </si>
  <si>
    <t>Celtic</t>
  </si>
  <si>
    <t>Mirassol</t>
  </si>
  <si>
    <t>FK Qabala</t>
  </si>
  <si>
    <t>Unations FC</t>
  </si>
  <si>
    <t>Concarneau</t>
  </si>
  <si>
    <t>Quevilly Rouen</t>
  </si>
  <si>
    <t>Bastia</t>
  </si>
  <si>
    <t>West Brom</t>
  </si>
  <si>
    <t>ASD Pineto Calcio</t>
  </si>
  <si>
    <t>Goztepe</t>
  </si>
  <si>
    <t>FK Jablonec</t>
  </si>
  <si>
    <t>Birmingham</t>
  </si>
  <si>
    <t>Fulham</t>
  </si>
  <si>
    <t>Charlton</t>
  </si>
  <si>
    <t>Napoli</t>
  </si>
  <si>
    <t>Albacete</t>
  </si>
  <si>
    <t>Aldosivi</t>
  </si>
  <si>
    <t>Liverpool Montevideo</t>
  </si>
  <si>
    <t>Almeria</t>
  </si>
  <si>
    <t>Betis</t>
  </si>
  <si>
    <t>LNZ-Lebedyn</t>
  </si>
  <si>
    <t>Valladolid</t>
  </si>
  <si>
    <t>Defensa y Justicia</t>
  </si>
  <si>
    <t>Volta Redonda</t>
  </si>
  <si>
    <t>Plaza Colonia</t>
  </si>
  <si>
    <t>Banfield</t>
  </si>
  <si>
    <t>AS Solimane</t>
  </si>
  <si>
    <t>Ceara SC Fortaleza</t>
  </si>
  <si>
    <t>Montpellier</t>
  </si>
  <si>
    <t>Athletic Club</t>
  </si>
  <si>
    <t>Siheung Citizen</t>
  </si>
  <si>
    <t>Shijiazhuang Gongfu FC</t>
  </si>
  <si>
    <t>Celta Vigo B</t>
  </si>
  <si>
    <t>Stenhousemuir</t>
  </si>
  <si>
    <t>Austria Wien</t>
  </si>
  <si>
    <t>Union de Salamanca</t>
  </si>
  <si>
    <t>Le Havre</t>
  </si>
  <si>
    <t>Chaves</t>
  </si>
  <si>
    <t>Venezia</t>
  </si>
  <si>
    <t>Racing Club</t>
  </si>
  <si>
    <t>Sao Paulo</t>
  </si>
  <si>
    <t>San Martin de San Juan</t>
  </si>
  <si>
    <t>Slavia Sofia</t>
  </si>
  <si>
    <t>CSKA 1948 Sofia</t>
  </si>
  <si>
    <t>Dynamo Kiev</t>
  </si>
  <si>
    <t>Cacereno</t>
  </si>
  <si>
    <t>Granada</t>
  </si>
  <si>
    <t>Cruzeiro MG</t>
  </si>
  <si>
    <t>Villarreal B</t>
  </si>
  <si>
    <t>Juventud De Las Piedras</t>
  </si>
  <si>
    <t>Santa Fe</t>
  </si>
  <si>
    <t>FC Osaka</t>
  </si>
  <si>
    <t>Deportivo Riestra</t>
  </si>
  <si>
    <t>Botafogo SP</t>
  </si>
  <si>
    <t>Chapecoense</t>
  </si>
  <si>
    <t>Hungary</t>
  </si>
  <si>
    <t>Ukraine</t>
  </si>
  <si>
    <t>Nigeria</t>
  </si>
  <si>
    <t>Qatar</t>
  </si>
  <si>
    <t>Belgrano</t>
  </si>
  <si>
    <t>CA Platense</t>
  </si>
  <si>
    <t>CRB Adrar</t>
  </si>
  <si>
    <t>Cyprus</t>
  </si>
  <si>
    <t>Costa Rica</t>
  </si>
  <si>
    <t>Jamaica</t>
  </si>
  <si>
    <t>Canada</t>
  </si>
  <si>
    <t>Atletico Bucaramanga</t>
  </si>
  <si>
    <t>Nacional (Par)</t>
  </si>
  <si>
    <t>Caen</t>
  </si>
  <si>
    <t>Catanzaro</t>
  </si>
  <si>
    <t>Gornik Zabrze</t>
  </si>
  <si>
    <t>Red Star</t>
  </si>
  <si>
    <t>Carrarese</t>
  </si>
  <si>
    <t>Dunfermline</t>
  </si>
  <si>
    <t>Arenteiro</t>
  </si>
  <si>
    <t>Mushuc Runa</t>
  </si>
  <si>
    <t>CSD Municipal</t>
  </si>
  <si>
    <t>Cadiz</t>
  </si>
  <si>
    <t>Toulouse</t>
  </si>
  <si>
    <t>Malaga</t>
  </si>
  <si>
    <t>Stoke</t>
  </si>
  <si>
    <t>Swansea</t>
  </si>
  <si>
    <t>Weston-super-Mare</t>
  </si>
  <si>
    <t>Abha</t>
  </si>
  <si>
    <t>Jeddah Club</t>
  </si>
  <si>
    <t>Erzurum BB</t>
  </si>
  <si>
    <t>Academico de Viseu</t>
  </si>
  <si>
    <t>Casertana</t>
  </si>
  <si>
    <t>Union Berlin</t>
  </si>
  <si>
    <t>Colchester</t>
  </si>
  <si>
    <t>Wigan</t>
  </si>
  <si>
    <t>Middlesbrough</t>
  </si>
  <si>
    <t>Sevilla B</t>
  </si>
  <si>
    <t>Kifisia</t>
  </si>
  <si>
    <t>AC Milan</t>
  </si>
  <si>
    <t>FC Machida</t>
  </si>
  <si>
    <t>Aston Villa</t>
  </si>
  <si>
    <t>Gimnasia La Plata</t>
  </si>
  <si>
    <t>Corinthians</t>
  </si>
  <si>
    <t>Valenciennes</t>
  </si>
  <si>
    <t>Queens Park</t>
  </si>
  <si>
    <t>Guadalupe F.C</t>
  </si>
  <si>
    <t>Zeljeznicar</t>
  </si>
  <si>
    <t>Kasimpasa</t>
  </si>
  <si>
    <t>Grazer AK</t>
  </si>
  <si>
    <t>Vasco da Gama</t>
  </si>
  <si>
    <t>ASD Alcione</t>
  </si>
  <si>
    <t>Oxford Utd</t>
  </si>
  <si>
    <t>Abo Qair Semads</t>
  </si>
  <si>
    <t>Petrojet</t>
  </si>
  <si>
    <t>UAE</t>
  </si>
  <si>
    <t>Tolima</t>
  </si>
  <si>
    <t>Sociedad B</t>
  </si>
  <si>
    <t>Oviedo</t>
  </si>
  <si>
    <t>Zaglebie Lubin</t>
  </si>
  <si>
    <t>Verona</t>
  </si>
  <si>
    <t>FC Cartagena</t>
  </si>
  <si>
    <t>LD Alajuelense</t>
  </si>
  <si>
    <t>Mallorca</t>
  </si>
  <si>
    <t>Burton Albion</t>
  </si>
  <si>
    <t>Arges Pitesti</t>
  </si>
  <si>
    <t>Pontedera</t>
  </si>
  <si>
    <t>US Cremonese</t>
  </si>
  <si>
    <t>Alaves</t>
  </si>
  <si>
    <t>Al Ittihad (EGY)</t>
  </si>
  <si>
    <t>Pergolettese</t>
  </si>
  <si>
    <t>Angola</t>
  </si>
  <si>
    <t>Espanyol</t>
  </si>
  <si>
    <t>Al Arabi Kuwait</t>
  </si>
  <si>
    <t>Reggiana</t>
  </si>
  <si>
    <t>Cagliari</t>
  </si>
  <si>
    <t>Mozambique</t>
  </si>
  <si>
    <t>Burkina Faso</t>
  </si>
  <si>
    <t>Team Rhino FC</t>
  </si>
  <si>
    <t>Oldham</t>
  </si>
  <si>
    <t>Port Vale</t>
  </si>
  <si>
    <t>Cliftonville</t>
  </si>
  <si>
    <t>Pharco FC</t>
  </si>
  <si>
    <t>Portsmouth</t>
  </si>
  <si>
    <t>Hapoel Akko</t>
  </si>
  <si>
    <t>Al-Shabbab (BRN)</t>
  </si>
  <si>
    <t>CD Nacional Funchal</t>
  </si>
  <si>
    <t>SS Virtus Verona 1921</t>
  </si>
  <si>
    <t>Al-Kholood Club</t>
  </si>
  <si>
    <t>Annecy</t>
  </si>
  <si>
    <t>Tunisia</t>
  </si>
  <si>
    <t>Sorrento</t>
  </si>
  <si>
    <t>Sabadell</t>
  </si>
  <si>
    <t>Guadalajara</t>
  </si>
  <si>
    <t>Sunderland</t>
  </si>
  <si>
    <t>Exeter</t>
  </si>
  <si>
    <t>Waterhouse FC</t>
  </si>
  <si>
    <t>DR Congo</t>
  </si>
  <si>
    <t>Al Tadhamon</t>
  </si>
  <si>
    <t>Marsaxlokk FC</t>
  </si>
  <si>
    <t>Wolves</t>
  </si>
  <si>
    <t>Maleyeit Kafr El Zayiat</t>
  </si>
  <si>
    <t>USM Khenchela</t>
  </si>
  <si>
    <t>Alcorcon</t>
  </si>
  <si>
    <t>Pisa</t>
  </si>
  <si>
    <t>Pescara</t>
  </si>
  <si>
    <t>Eibar</t>
  </si>
  <si>
    <t>Capivariano SP</t>
  </si>
  <si>
    <t>Esporte Clube Primavera</t>
  </si>
  <si>
    <t>CD Teruel</t>
  </si>
  <si>
    <t>US Pianese</t>
  </si>
  <si>
    <t>SSD Dolomiti Bellunesi</t>
  </si>
  <si>
    <t>NFC Volos</t>
  </si>
  <si>
    <t>Horizonte</t>
  </si>
  <si>
    <t>Benfica</t>
  </si>
  <si>
    <t>Sao Luiz</t>
  </si>
  <si>
    <t>Monte Azul SP</t>
  </si>
  <si>
    <t>Barcelona Futebol Clube</t>
  </si>
  <si>
    <t>Team Altamura</t>
  </si>
  <si>
    <t>Real Aviles</t>
  </si>
  <si>
    <t>Alianza FC Valledupar</t>
  </si>
  <si>
    <t>Persipura Jayapura</t>
  </si>
  <si>
    <t>Moreirense</t>
  </si>
  <si>
    <t>Reus FC Reddis</t>
  </si>
  <si>
    <t>AF Elbasani</t>
  </si>
  <si>
    <t>Rayo Vallecano</t>
  </si>
  <si>
    <t>Standard</t>
  </si>
  <si>
    <t>Universitatea Cluj</t>
  </si>
  <si>
    <t>Panathinaikos</t>
  </si>
  <si>
    <t>Bangu</t>
  </si>
  <si>
    <t>North Esporte Clube</t>
  </si>
  <si>
    <t>Deportes Limache</t>
  </si>
  <si>
    <t>Molynes United FC</t>
  </si>
  <si>
    <t>Portuguesa RJ</t>
  </si>
  <si>
    <t>AVS Futebol SAD</t>
  </si>
  <si>
    <t>Felgueiras</t>
  </si>
  <si>
    <t>Tranmere</t>
  </si>
  <si>
    <t>Mafra</t>
  </si>
  <si>
    <t>FUS Rabat</t>
  </si>
  <si>
    <t>Itabirito FC</t>
  </si>
  <si>
    <t>Real Madrid C</t>
  </si>
  <si>
    <t>FK Sumqayit</t>
  </si>
  <si>
    <t>Perugia</t>
  </si>
  <si>
    <t>TS Galaxy FC</t>
  </si>
  <si>
    <t>Aurora Pro Patria 1919</t>
  </si>
  <si>
    <t>Padova</t>
  </si>
  <si>
    <t>NK Istra</t>
  </si>
  <si>
    <t>CODM Meknes</t>
  </si>
  <si>
    <t>CFR Cluj</t>
  </si>
  <si>
    <t>Atletico Go</t>
  </si>
  <si>
    <t>CS Cartagines</t>
  </si>
  <si>
    <t>Csikszereda</t>
  </si>
  <si>
    <t>NA Hussein Dey</t>
  </si>
  <si>
    <t>Bristol Rovers</t>
  </si>
  <si>
    <t>Athletico-PR</t>
  </si>
  <si>
    <t>Sertaozinho</t>
  </si>
  <si>
    <t>Deportivo San Pedro</t>
  </si>
  <si>
    <t>Tersana SC</t>
  </si>
  <si>
    <t>Ferencvaros</t>
  </si>
  <si>
    <t>FC Utrecht</t>
  </si>
  <si>
    <t>Vasco Da Gama</t>
  </si>
  <si>
    <t>Imisli FK</t>
  </si>
  <si>
    <t>Medeama SC</t>
  </si>
  <si>
    <t>Bourg-en-Bresse</t>
  </si>
  <si>
    <t>Villefranche Beaujolais</t>
  </si>
  <si>
    <t>Nancy</t>
  </si>
  <si>
    <t>Sheff Wed</t>
  </si>
  <si>
    <t>Genclerbirligi</t>
  </si>
  <si>
    <t>Zlin</t>
  </si>
  <si>
    <t>Huesca</t>
  </si>
  <si>
    <t>Independiente Rivadavia</t>
  </si>
  <si>
    <t>Karpaty</t>
  </si>
  <si>
    <t>Huracan</t>
  </si>
  <si>
    <t>Cerro Largo FC</t>
  </si>
  <si>
    <t>Lanus</t>
  </si>
  <si>
    <t>Ben Guerdane</t>
  </si>
  <si>
    <t>FC Copenhagen</t>
  </si>
  <si>
    <t>Al-Akhdoud</t>
  </si>
  <si>
    <t>Ferroviaria</t>
  </si>
  <si>
    <t>Paju Citizen</t>
  </si>
  <si>
    <t>Dalian Kun City FC</t>
  </si>
  <si>
    <t>Kelty Hearts</t>
  </si>
  <si>
    <t>MC Oran</t>
  </si>
  <si>
    <t>Osijek</t>
  </si>
  <si>
    <t>Pontevedra CF</t>
  </si>
  <si>
    <t>Nantes</t>
  </si>
  <si>
    <t>Porto B</t>
  </si>
  <si>
    <t>Red Bull Bragantino</t>
  </si>
  <si>
    <t>Montana</t>
  </si>
  <si>
    <t>Cherno More</t>
  </si>
  <si>
    <t>Fluminense</t>
  </si>
  <si>
    <t>Atletico Sanluqueno CF</t>
  </si>
  <si>
    <t>Progreso</t>
  </si>
  <si>
    <t>Deportivo Cali</t>
  </si>
  <si>
    <t>Nagano Parceiro</t>
  </si>
  <si>
    <t>CA Independiente</t>
  </si>
  <si>
    <t>Amazonas FC</t>
  </si>
  <si>
    <t>America MG</t>
  </si>
  <si>
    <t>Deltras Sidoarjo</t>
  </si>
  <si>
    <t>Republic of Ireland</t>
  </si>
  <si>
    <t>Iceland</t>
  </si>
  <si>
    <t>Zimbabwe</t>
  </si>
  <si>
    <t>Union Santa Fe</t>
  </si>
  <si>
    <t>Estonia</t>
  </si>
  <si>
    <t>Honduras</t>
  </si>
  <si>
    <t>Curacao</t>
  </si>
  <si>
    <t>Venezuela</t>
  </si>
  <si>
    <t>Club Sportivo Ameliano</t>
  </si>
  <si>
    <t>Wisla Plock</t>
  </si>
  <si>
    <t>Clermont</t>
  </si>
  <si>
    <t>Piast Gliwice</t>
  </si>
  <si>
    <t>Ourense CF</t>
  </si>
  <si>
    <t>Tecnico Universitario</t>
  </si>
  <si>
    <t>Antigua GFC</t>
  </si>
  <si>
    <t>Leonesa</t>
  </si>
  <si>
    <t>Angers</t>
  </si>
  <si>
    <t>Avai</t>
  </si>
  <si>
    <t>Mirandes</t>
  </si>
  <si>
    <t>Derby</t>
  </si>
  <si>
    <t>Bath City</t>
  </si>
  <si>
    <t>Al Bukayriyah</t>
  </si>
  <si>
    <t>Al-Jndal</t>
  </si>
  <si>
    <t>Sassuolo</t>
  </si>
  <si>
    <t>Istanbulspor</t>
  </si>
  <si>
    <t>Penafiel</t>
  </si>
  <si>
    <t>FC Heidenheim</t>
  </si>
  <si>
    <t>Cheltenham</t>
  </si>
  <si>
    <t>WSG Wattens</t>
  </si>
  <si>
    <t>Marbella</t>
  </si>
  <si>
    <t>Panserraikos</t>
  </si>
  <si>
    <t>RAAL La Louviere</t>
  </si>
  <si>
    <t>Nagoya</t>
  </si>
  <si>
    <t>OVER_25</t>
  </si>
  <si>
    <t>2026-01-31</t>
  </si>
  <si>
    <t>Slovenian Premier League</t>
  </si>
  <si>
    <t>Olimpija</t>
  </si>
  <si>
    <t>Mura</t>
  </si>
  <si>
    <t>Sigma Olomouc</t>
  </si>
  <si>
    <t>Hradec Kralove</t>
  </si>
  <si>
    <t>Augsburg</t>
  </si>
  <si>
    <t>St Pauli</t>
  </si>
  <si>
    <t>Uta Arad</t>
  </si>
  <si>
    <t>Rotherham</t>
  </si>
  <si>
    <t>Ayr</t>
  </si>
  <si>
    <t>Raith</t>
  </si>
  <si>
    <t>Airdrieonians</t>
  </si>
  <si>
    <t>Atromitos</t>
  </si>
  <si>
    <t>OFI</t>
  </si>
  <si>
    <t>Nuovo Campobasso</t>
  </si>
  <si>
    <t>Rapid Bucharest</t>
  </si>
  <si>
    <t>Athlitiki Enosi Larissa</t>
  </si>
  <si>
    <t>SER Caxias do Sul</t>
  </si>
  <si>
    <t>Mexican Liga de Ascenso</t>
  </si>
  <si>
    <t>Club Atletico Morelia</t>
  </si>
  <si>
    <t>Cancun FC</t>
  </si>
  <si>
    <t>Atl Tucuman</t>
  </si>
  <si>
    <t>CA Huracan</t>
  </si>
  <si>
    <t>2026-02-01</t>
  </si>
  <si>
    <t>Lecce</t>
  </si>
  <si>
    <t>Trapani</t>
  </si>
  <si>
    <t>Serbian Super League</t>
  </si>
  <si>
    <t>FK Novi Pazar</t>
  </si>
  <si>
    <t>FK Spartak</t>
  </si>
  <si>
    <t>Algeciras</t>
  </si>
  <si>
    <t>Eldense</t>
  </si>
  <si>
    <t>Lugo</t>
  </si>
  <si>
    <t>Ponferradina</t>
  </si>
  <si>
    <t>CAF Confederation Cup</t>
  </si>
  <si>
    <t>Al-Masry</t>
  </si>
  <si>
    <t>Zamalek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</si>
</sst>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1"/>
  <sheetViews>
    <sheetView tabSelected="1" topLeftCell="A282" workbookViewId="0">
      <selection activeCell="N303" sqref="N303:O311"/>
    </sheetView>
  </sheetViews>
  <sheetFormatPr defaultRowHeight="14.4" x14ac:dyDescent="0.3"/>
  <cols>
    <col min="1" max="1" width="11.2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spans="1:15" x14ac:dyDescent="0.3">
      <c r="A2" t="s">
        <v>65</v>
      </c>
      <c r="B2" t="s">
        <v>100</v>
      </c>
      <c r="C2" t="s">
        <v>154</v>
      </c>
      <c r="D2" t="s">
        <v>390</v>
      </c>
      <c r="E2" t="s">
        <v>604</v>
      </c>
      <c r="F2">
        <v>1.56</v>
      </c>
      <c r="G2">
        <v>7</v>
      </c>
      <c r="H2">
        <v>4.4000000000000004</v>
      </c>
      <c r="I2">
        <v>1.92</v>
      </c>
      <c r="J2" t="s">
        <v>670</v>
      </c>
      <c r="K2">
        <v>0</v>
      </c>
      <c r="L2">
        <v>0</v>
      </c>
      <c r="M2">
        <v>0</v>
      </c>
      <c r="N2">
        <f>IF(M2=1,0.935*(I2-1),-1)</f>
        <v>-1</v>
      </c>
      <c r="O2">
        <f>K2+L2</f>
        <v>0</v>
      </c>
    </row>
    <row r="3" spans="1:15" x14ac:dyDescent="0.3">
      <c r="A3" t="s">
        <v>65</v>
      </c>
      <c r="B3" t="s">
        <v>96</v>
      </c>
      <c r="C3" t="s">
        <v>149</v>
      </c>
      <c r="D3" t="s">
        <v>391</v>
      </c>
      <c r="E3" t="s">
        <v>548</v>
      </c>
      <c r="F3">
        <v>1.86</v>
      </c>
      <c r="G3">
        <v>4.9000000000000004</v>
      </c>
      <c r="H3">
        <v>3.25</v>
      </c>
      <c r="I3">
        <v>2.2799999999999998</v>
      </c>
      <c r="J3" t="s">
        <v>670</v>
      </c>
      <c r="K3">
        <v>1</v>
      </c>
      <c r="L3">
        <v>1</v>
      </c>
      <c r="M3">
        <v>0</v>
      </c>
      <c r="N3">
        <f t="shared" ref="N3:N66" si="0">IF(M3=1,0.935*(I3-1),-1)</f>
        <v>-1</v>
      </c>
      <c r="O3">
        <f t="shared" ref="O3:O66" si="1">K3+L3</f>
        <v>2</v>
      </c>
    </row>
    <row r="4" spans="1:15" x14ac:dyDescent="0.3">
      <c r="A4" t="s">
        <v>65</v>
      </c>
      <c r="B4" t="s">
        <v>93</v>
      </c>
      <c r="C4" t="s">
        <v>150</v>
      </c>
      <c r="D4" t="s">
        <v>392</v>
      </c>
      <c r="E4" t="s">
        <v>605</v>
      </c>
      <c r="F4">
        <v>1.66</v>
      </c>
      <c r="G4">
        <v>6</v>
      </c>
      <c r="H4">
        <v>3.95</v>
      </c>
      <c r="I4">
        <v>2.06</v>
      </c>
      <c r="J4" t="s">
        <v>670</v>
      </c>
      <c r="K4">
        <v>1</v>
      </c>
      <c r="L4">
        <v>0</v>
      </c>
      <c r="M4">
        <v>0</v>
      </c>
      <c r="N4">
        <f t="shared" si="0"/>
        <v>-1</v>
      </c>
      <c r="O4">
        <f t="shared" si="1"/>
        <v>1</v>
      </c>
    </row>
    <row r="5" spans="1:15" x14ac:dyDescent="0.3">
      <c r="A5" t="s">
        <v>65</v>
      </c>
      <c r="B5" t="s">
        <v>93</v>
      </c>
      <c r="C5" t="s">
        <v>211</v>
      </c>
      <c r="D5" t="s">
        <v>393</v>
      </c>
      <c r="E5" t="s">
        <v>606</v>
      </c>
      <c r="F5">
        <v>1.71</v>
      </c>
      <c r="G5">
        <v>5.7</v>
      </c>
      <c r="H5">
        <v>3.85</v>
      </c>
      <c r="I5">
        <v>2.14</v>
      </c>
      <c r="J5" t="s">
        <v>670</v>
      </c>
      <c r="K5">
        <v>1</v>
      </c>
      <c r="L5">
        <v>3</v>
      </c>
      <c r="M5">
        <v>1</v>
      </c>
      <c r="N5">
        <f t="shared" si="0"/>
        <v>1.0659000000000001</v>
      </c>
      <c r="O5">
        <f t="shared" si="1"/>
        <v>4</v>
      </c>
    </row>
    <row r="6" spans="1:15" x14ac:dyDescent="0.3">
      <c r="A6" t="s">
        <v>65</v>
      </c>
      <c r="B6" t="s">
        <v>108</v>
      </c>
      <c r="C6" t="s">
        <v>154</v>
      </c>
      <c r="D6" t="s">
        <v>394</v>
      </c>
      <c r="E6" t="s">
        <v>521</v>
      </c>
      <c r="F6">
        <v>1.78</v>
      </c>
      <c r="G6">
        <v>5.4</v>
      </c>
      <c r="H6">
        <v>3.85</v>
      </c>
      <c r="I6">
        <v>2.16</v>
      </c>
      <c r="J6" t="s">
        <v>670</v>
      </c>
      <c r="K6">
        <v>4</v>
      </c>
      <c r="L6">
        <v>0</v>
      </c>
      <c r="M6">
        <v>1</v>
      </c>
      <c r="N6">
        <f t="shared" si="0"/>
        <v>1.0846000000000002</v>
      </c>
      <c r="O6">
        <f t="shared" si="1"/>
        <v>4</v>
      </c>
    </row>
    <row r="7" spans="1:15" x14ac:dyDescent="0.3">
      <c r="A7" t="s">
        <v>65</v>
      </c>
      <c r="B7" t="s">
        <v>108</v>
      </c>
      <c r="C7" t="s">
        <v>180</v>
      </c>
      <c r="D7" t="s">
        <v>395</v>
      </c>
      <c r="E7" t="s">
        <v>538</v>
      </c>
      <c r="F7">
        <v>1.85</v>
      </c>
      <c r="G7">
        <v>5</v>
      </c>
      <c r="H7">
        <v>3.8</v>
      </c>
      <c r="I7">
        <v>2.12</v>
      </c>
      <c r="J7" t="s">
        <v>670</v>
      </c>
      <c r="K7">
        <v>3</v>
      </c>
      <c r="L7">
        <v>0</v>
      </c>
      <c r="M7">
        <v>1</v>
      </c>
      <c r="N7">
        <f t="shared" si="0"/>
        <v>1.0472000000000001</v>
      </c>
      <c r="O7">
        <f t="shared" si="1"/>
        <v>3</v>
      </c>
    </row>
    <row r="8" spans="1:15" x14ac:dyDescent="0.3">
      <c r="A8" t="s">
        <v>65</v>
      </c>
      <c r="B8" t="s">
        <v>108</v>
      </c>
      <c r="C8" t="s">
        <v>154</v>
      </c>
      <c r="D8" t="s">
        <v>396</v>
      </c>
      <c r="E8" t="s">
        <v>464</v>
      </c>
      <c r="F8">
        <v>2.2000000000000002</v>
      </c>
      <c r="G8">
        <v>3.95</v>
      </c>
      <c r="H8">
        <v>3.35</v>
      </c>
      <c r="I8">
        <v>2.58</v>
      </c>
      <c r="J8" t="s">
        <v>670</v>
      </c>
      <c r="K8">
        <v>1</v>
      </c>
      <c r="L8">
        <v>1</v>
      </c>
      <c r="M8">
        <v>0</v>
      </c>
      <c r="N8">
        <f t="shared" si="0"/>
        <v>-1</v>
      </c>
      <c r="O8">
        <f t="shared" si="1"/>
        <v>2</v>
      </c>
    </row>
    <row r="9" spans="1:15" x14ac:dyDescent="0.3">
      <c r="A9" t="s">
        <v>65</v>
      </c>
      <c r="B9" t="s">
        <v>110</v>
      </c>
      <c r="C9" t="s">
        <v>163</v>
      </c>
      <c r="D9" t="s">
        <v>397</v>
      </c>
      <c r="E9" t="s">
        <v>292</v>
      </c>
      <c r="F9">
        <v>1.99</v>
      </c>
      <c r="G9">
        <v>4.9000000000000004</v>
      </c>
      <c r="H9">
        <v>3.3</v>
      </c>
      <c r="I9">
        <v>2.2799999999999998</v>
      </c>
      <c r="J9" t="s">
        <v>670</v>
      </c>
      <c r="K9">
        <v>0</v>
      </c>
      <c r="L9">
        <v>0</v>
      </c>
      <c r="M9">
        <v>0</v>
      </c>
      <c r="N9">
        <f t="shared" si="0"/>
        <v>-1</v>
      </c>
      <c r="O9">
        <f t="shared" si="1"/>
        <v>0</v>
      </c>
    </row>
    <row r="10" spans="1:15" x14ac:dyDescent="0.3">
      <c r="A10" t="s">
        <v>65</v>
      </c>
      <c r="B10" t="s">
        <v>102</v>
      </c>
      <c r="C10" t="s">
        <v>159</v>
      </c>
      <c r="D10" t="s">
        <v>398</v>
      </c>
      <c r="E10" t="s">
        <v>607</v>
      </c>
      <c r="F10">
        <v>2.1</v>
      </c>
      <c r="G10">
        <v>4.5999999999999996</v>
      </c>
      <c r="H10">
        <v>3.1</v>
      </c>
      <c r="I10">
        <v>2.52</v>
      </c>
      <c r="J10" t="s">
        <v>670</v>
      </c>
      <c r="K10">
        <v>2</v>
      </c>
      <c r="L10">
        <v>1</v>
      </c>
      <c r="M10">
        <v>1</v>
      </c>
      <c r="N10">
        <f t="shared" si="0"/>
        <v>1.4212</v>
      </c>
      <c r="O10">
        <f t="shared" si="1"/>
        <v>3</v>
      </c>
    </row>
    <row r="11" spans="1:15" x14ac:dyDescent="0.3">
      <c r="A11" t="s">
        <v>65</v>
      </c>
      <c r="B11" t="s">
        <v>130</v>
      </c>
      <c r="C11" t="s">
        <v>142</v>
      </c>
      <c r="D11" t="s">
        <v>399</v>
      </c>
      <c r="E11" t="s">
        <v>608</v>
      </c>
      <c r="F11">
        <v>2.3199999999999998</v>
      </c>
      <c r="G11">
        <v>4.0999999999999996</v>
      </c>
      <c r="H11">
        <v>2.98</v>
      </c>
      <c r="I11">
        <v>2.92</v>
      </c>
      <c r="J11" t="s">
        <v>670</v>
      </c>
      <c r="K11">
        <v>3</v>
      </c>
      <c r="L11">
        <v>1</v>
      </c>
      <c r="M11">
        <v>1</v>
      </c>
      <c r="N11">
        <f t="shared" si="0"/>
        <v>1.7952000000000001</v>
      </c>
      <c r="O11">
        <f t="shared" si="1"/>
        <v>4</v>
      </c>
    </row>
    <row r="12" spans="1:15" x14ac:dyDescent="0.3">
      <c r="A12" t="s">
        <v>65</v>
      </c>
      <c r="B12" t="s">
        <v>115</v>
      </c>
      <c r="C12" t="s">
        <v>212</v>
      </c>
      <c r="D12" t="s">
        <v>400</v>
      </c>
      <c r="E12" t="s">
        <v>432</v>
      </c>
      <c r="F12">
        <v>1.91</v>
      </c>
      <c r="G12">
        <v>4.4000000000000004</v>
      </c>
      <c r="H12">
        <v>3.7</v>
      </c>
      <c r="I12">
        <v>2.2200000000000002</v>
      </c>
      <c r="J12" t="s">
        <v>670</v>
      </c>
      <c r="K12">
        <v>0</v>
      </c>
      <c r="L12">
        <v>1</v>
      </c>
      <c r="M12">
        <v>0</v>
      </c>
      <c r="N12">
        <f t="shared" si="0"/>
        <v>-1</v>
      </c>
      <c r="O12">
        <f t="shared" si="1"/>
        <v>1</v>
      </c>
    </row>
    <row r="13" spans="1:15" x14ac:dyDescent="0.3">
      <c r="A13" t="s">
        <v>65</v>
      </c>
      <c r="B13" t="s">
        <v>89</v>
      </c>
      <c r="C13" t="s">
        <v>159</v>
      </c>
      <c r="D13" t="s">
        <v>401</v>
      </c>
      <c r="E13" t="s">
        <v>544</v>
      </c>
      <c r="F13">
        <v>1.9</v>
      </c>
      <c r="G13">
        <v>4.8</v>
      </c>
      <c r="H13">
        <v>3.6</v>
      </c>
      <c r="I13">
        <v>2.2000000000000002</v>
      </c>
      <c r="J13" t="s">
        <v>670</v>
      </c>
      <c r="K13">
        <v>3</v>
      </c>
      <c r="L13">
        <v>1</v>
      </c>
      <c r="M13">
        <v>1</v>
      </c>
      <c r="N13">
        <f t="shared" si="0"/>
        <v>1.1220000000000003</v>
      </c>
      <c r="O13">
        <f t="shared" si="1"/>
        <v>4</v>
      </c>
    </row>
    <row r="14" spans="1:15" x14ac:dyDescent="0.3">
      <c r="A14" t="s">
        <v>66</v>
      </c>
      <c r="B14" t="s">
        <v>93</v>
      </c>
      <c r="C14" t="s">
        <v>163</v>
      </c>
      <c r="D14" t="s">
        <v>280</v>
      </c>
      <c r="E14" t="s">
        <v>542</v>
      </c>
      <c r="F14">
        <v>2</v>
      </c>
      <c r="G14">
        <v>4.7</v>
      </c>
      <c r="H14">
        <v>3.35</v>
      </c>
      <c r="I14">
        <v>2.48</v>
      </c>
      <c r="J14" t="s">
        <v>670</v>
      </c>
      <c r="K14">
        <v>2</v>
      </c>
      <c r="L14">
        <v>2</v>
      </c>
      <c r="M14">
        <v>1</v>
      </c>
      <c r="N14">
        <f t="shared" si="0"/>
        <v>1.3838000000000001</v>
      </c>
      <c r="O14">
        <f t="shared" si="1"/>
        <v>4</v>
      </c>
    </row>
    <row r="15" spans="1:15" x14ac:dyDescent="0.3">
      <c r="A15" t="s">
        <v>66</v>
      </c>
      <c r="B15" t="s">
        <v>93</v>
      </c>
      <c r="C15" t="s">
        <v>152</v>
      </c>
      <c r="D15" t="s">
        <v>245</v>
      </c>
      <c r="E15" t="s">
        <v>279</v>
      </c>
      <c r="F15">
        <v>1.99</v>
      </c>
      <c r="G15">
        <v>4.5999999999999996</v>
      </c>
      <c r="H15">
        <v>3.3</v>
      </c>
      <c r="I15">
        <v>2.42</v>
      </c>
      <c r="J15" t="s">
        <v>670</v>
      </c>
      <c r="K15">
        <v>3</v>
      </c>
      <c r="L15">
        <v>0</v>
      </c>
      <c r="M15">
        <v>1</v>
      </c>
      <c r="N15">
        <f t="shared" si="0"/>
        <v>1.3277000000000001</v>
      </c>
      <c r="O15">
        <f t="shared" si="1"/>
        <v>3</v>
      </c>
    </row>
    <row r="16" spans="1:15" x14ac:dyDescent="0.3">
      <c r="A16" t="s">
        <v>66</v>
      </c>
      <c r="B16" t="s">
        <v>89</v>
      </c>
      <c r="C16" t="s">
        <v>160</v>
      </c>
      <c r="D16" t="s">
        <v>402</v>
      </c>
      <c r="E16" t="s">
        <v>501</v>
      </c>
      <c r="F16">
        <v>1.61</v>
      </c>
      <c r="G16">
        <v>6.4</v>
      </c>
      <c r="H16">
        <v>4.3</v>
      </c>
      <c r="I16">
        <v>1.92</v>
      </c>
      <c r="J16" t="s">
        <v>670</v>
      </c>
      <c r="K16">
        <v>3</v>
      </c>
      <c r="L16">
        <v>0</v>
      </c>
      <c r="M16">
        <v>1</v>
      </c>
      <c r="N16">
        <f t="shared" si="0"/>
        <v>0.86019999999999996</v>
      </c>
      <c r="O16">
        <f t="shared" si="1"/>
        <v>3</v>
      </c>
    </row>
    <row r="17" spans="1:15" x14ac:dyDescent="0.3">
      <c r="A17" t="s">
        <v>67</v>
      </c>
      <c r="B17" t="s">
        <v>96</v>
      </c>
      <c r="C17" t="s">
        <v>213</v>
      </c>
      <c r="D17" t="s">
        <v>403</v>
      </c>
      <c r="E17" t="s">
        <v>609</v>
      </c>
      <c r="F17">
        <v>2.3199999999999998</v>
      </c>
      <c r="G17">
        <v>3.95</v>
      </c>
      <c r="H17">
        <v>2.98</v>
      </c>
      <c r="I17">
        <v>2.88</v>
      </c>
      <c r="J17" t="s">
        <v>670</v>
      </c>
      <c r="K17">
        <v>0</v>
      </c>
      <c r="L17">
        <v>1</v>
      </c>
      <c r="M17">
        <v>0</v>
      </c>
      <c r="N17">
        <f t="shared" si="0"/>
        <v>-1</v>
      </c>
      <c r="O17">
        <f t="shared" si="1"/>
        <v>1</v>
      </c>
    </row>
    <row r="18" spans="1:15" x14ac:dyDescent="0.3">
      <c r="A18" t="s">
        <v>67</v>
      </c>
      <c r="B18" t="s">
        <v>115</v>
      </c>
      <c r="C18" t="s">
        <v>159</v>
      </c>
      <c r="D18" t="s">
        <v>404</v>
      </c>
      <c r="E18" t="s">
        <v>429</v>
      </c>
      <c r="F18">
        <v>1.97</v>
      </c>
      <c r="G18">
        <v>4.5</v>
      </c>
      <c r="H18">
        <v>3.5</v>
      </c>
      <c r="I18">
        <v>2.2799999999999998</v>
      </c>
      <c r="J18" t="s">
        <v>670</v>
      </c>
      <c r="K18">
        <v>2</v>
      </c>
      <c r="L18">
        <v>1</v>
      </c>
      <c r="M18">
        <v>1</v>
      </c>
      <c r="N18">
        <f t="shared" si="0"/>
        <v>1.1967999999999999</v>
      </c>
      <c r="O18">
        <f t="shared" si="1"/>
        <v>3</v>
      </c>
    </row>
    <row r="19" spans="1:15" x14ac:dyDescent="0.3">
      <c r="A19" t="s">
        <v>67</v>
      </c>
      <c r="B19" t="s">
        <v>92</v>
      </c>
      <c r="C19" t="s">
        <v>142</v>
      </c>
      <c r="D19" t="s">
        <v>405</v>
      </c>
      <c r="E19" t="s">
        <v>610</v>
      </c>
      <c r="F19">
        <v>2.62</v>
      </c>
      <c r="G19">
        <v>3.4</v>
      </c>
      <c r="H19">
        <v>3.05</v>
      </c>
      <c r="I19">
        <v>3.05</v>
      </c>
      <c r="J19" t="s">
        <v>670</v>
      </c>
      <c r="K19">
        <v>1</v>
      </c>
      <c r="L19">
        <v>3</v>
      </c>
      <c r="M19">
        <v>1</v>
      </c>
      <c r="N19">
        <f t="shared" si="0"/>
        <v>1.91675</v>
      </c>
      <c r="O19">
        <f t="shared" si="1"/>
        <v>4</v>
      </c>
    </row>
    <row r="20" spans="1:15" x14ac:dyDescent="0.3">
      <c r="A20" t="s">
        <v>67</v>
      </c>
      <c r="B20" t="s">
        <v>90</v>
      </c>
      <c r="C20" t="s">
        <v>214</v>
      </c>
      <c r="D20" t="s">
        <v>406</v>
      </c>
      <c r="E20" t="s">
        <v>436</v>
      </c>
      <c r="F20">
        <v>1.99</v>
      </c>
      <c r="G20">
        <v>4.4000000000000004</v>
      </c>
      <c r="H20">
        <v>3.4</v>
      </c>
      <c r="I20">
        <v>2.38</v>
      </c>
      <c r="J20" t="s">
        <v>670</v>
      </c>
      <c r="K20">
        <v>0</v>
      </c>
      <c r="L20">
        <v>1</v>
      </c>
      <c r="M20">
        <v>0</v>
      </c>
      <c r="N20">
        <f t="shared" si="0"/>
        <v>-1</v>
      </c>
      <c r="O20">
        <f t="shared" si="1"/>
        <v>1</v>
      </c>
    </row>
    <row r="21" spans="1:15" x14ac:dyDescent="0.3">
      <c r="A21" t="s">
        <v>67</v>
      </c>
      <c r="B21" t="s">
        <v>90</v>
      </c>
      <c r="C21" t="s">
        <v>212</v>
      </c>
      <c r="D21" t="s">
        <v>407</v>
      </c>
      <c r="E21" t="s">
        <v>611</v>
      </c>
      <c r="F21">
        <v>2.2799999999999998</v>
      </c>
      <c r="G21">
        <v>3.75</v>
      </c>
      <c r="H21">
        <v>3.25</v>
      </c>
      <c r="I21">
        <v>2.74</v>
      </c>
      <c r="J21" t="s">
        <v>670</v>
      </c>
      <c r="K21">
        <v>0</v>
      </c>
      <c r="L21">
        <v>2</v>
      </c>
      <c r="M21">
        <v>0</v>
      </c>
      <c r="N21">
        <f t="shared" si="0"/>
        <v>-1</v>
      </c>
      <c r="O21">
        <f t="shared" si="1"/>
        <v>2</v>
      </c>
    </row>
    <row r="22" spans="1:15" x14ac:dyDescent="0.3">
      <c r="A22" t="s">
        <v>67</v>
      </c>
      <c r="B22" t="s">
        <v>131</v>
      </c>
      <c r="C22" t="s">
        <v>142</v>
      </c>
      <c r="D22" t="s">
        <v>408</v>
      </c>
      <c r="E22" t="s">
        <v>612</v>
      </c>
      <c r="F22">
        <v>2.68</v>
      </c>
      <c r="G22">
        <v>3.45</v>
      </c>
      <c r="H22">
        <v>2.86</v>
      </c>
      <c r="I22">
        <v>3.35</v>
      </c>
      <c r="J22" t="s">
        <v>670</v>
      </c>
      <c r="K22">
        <v>2</v>
      </c>
      <c r="L22">
        <v>1</v>
      </c>
      <c r="M22">
        <v>1</v>
      </c>
      <c r="N22">
        <f t="shared" si="0"/>
        <v>2.1972500000000004</v>
      </c>
      <c r="O22">
        <f t="shared" si="1"/>
        <v>3</v>
      </c>
    </row>
    <row r="23" spans="1:15" x14ac:dyDescent="0.3">
      <c r="A23" t="s">
        <v>68</v>
      </c>
      <c r="B23" t="s">
        <v>96</v>
      </c>
      <c r="C23" t="s">
        <v>215</v>
      </c>
      <c r="D23" t="s">
        <v>409</v>
      </c>
      <c r="E23" t="s">
        <v>613</v>
      </c>
      <c r="F23">
        <v>3.05</v>
      </c>
      <c r="G23">
        <v>2.96</v>
      </c>
      <c r="H23">
        <v>2.62</v>
      </c>
      <c r="I23">
        <v>3.7</v>
      </c>
      <c r="J23" t="s">
        <v>670</v>
      </c>
      <c r="K23">
        <v>0</v>
      </c>
      <c r="L23">
        <v>1</v>
      </c>
      <c r="M23">
        <v>0</v>
      </c>
      <c r="N23">
        <f t="shared" si="0"/>
        <v>-1</v>
      </c>
      <c r="O23">
        <f t="shared" si="1"/>
        <v>1</v>
      </c>
    </row>
    <row r="24" spans="1:15" x14ac:dyDescent="0.3">
      <c r="A24" t="s">
        <v>68</v>
      </c>
      <c r="B24" t="s">
        <v>92</v>
      </c>
      <c r="C24" t="s">
        <v>154</v>
      </c>
      <c r="D24" t="s">
        <v>394</v>
      </c>
      <c r="E24" t="s">
        <v>352</v>
      </c>
      <c r="F24">
        <v>1.85</v>
      </c>
      <c r="G24">
        <v>4.9000000000000004</v>
      </c>
      <c r="H24">
        <v>3.75</v>
      </c>
      <c r="I24">
        <v>2.2599999999999998</v>
      </c>
      <c r="J24" t="s">
        <v>670</v>
      </c>
      <c r="K24">
        <v>4</v>
      </c>
      <c r="L24">
        <v>0</v>
      </c>
      <c r="M24">
        <v>1</v>
      </c>
      <c r="N24">
        <f t="shared" si="0"/>
        <v>1.1780999999999999</v>
      </c>
      <c r="O24">
        <f t="shared" si="1"/>
        <v>4</v>
      </c>
    </row>
    <row r="25" spans="1:15" x14ac:dyDescent="0.3">
      <c r="A25" t="s">
        <v>68</v>
      </c>
      <c r="B25" t="s">
        <v>89</v>
      </c>
      <c r="C25" t="s">
        <v>198</v>
      </c>
      <c r="D25" t="s">
        <v>301</v>
      </c>
      <c r="E25" t="s">
        <v>614</v>
      </c>
      <c r="F25">
        <v>1.46</v>
      </c>
      <c r="G25">
        <v>8.6</v>
      </c>
      <c r="H25">
        <v>4.9000000000000004</v>
      </c>
      <c r="I25">
        <v>1.8</v>
      </c>
      <c r="J25" t="s">
        <v>670</v>
      </c>
      <c r="K25">
        <v>4</v>
      </c>
      <c r="L25">
        <v>0</v>
      </c>
      <c r="M25">
        <v>1</v>
      </c>
      <c r="N25">
        <f t="shared" si="0"/>
        <v>0.74800000000000011</v>
      </c>
      <c r="O25">
        <f t="shared" si="1"/>
        <v>4</v>
      </c>
    </row>
    <row r="26" spans="1:15" x14ac:dyDescent="0.3">
      <c r="A26" t="s">
        <v>69</v>
      </c>
      <c r="B26" t="s">
        <v>94</v>
      </c>
      <c r="C26" t="s">
        <v>143</v>
      </c>
      <c r="D26" t="s">
        <v>410</v>
      </c>
      <c r="E26" t="s">
        <v>234</v>
      </c>
      <c r="F26">
        <v>2.44</v>
      </c>
      <c r="G26">
        <v>3.65</v>
      </c>
      <c r="H26">
        <v>3.05</v>
      </c>
      <c r="I26">
        <v>3.05</v>
      </c>
      <c r="J26" t="s">
        <v>670</v>
      </c>
      <c r="K26">
        <v>1</v>
      </c>
      <c r="L26">
        <v>1</v>
      </c>
      <c r="M26">
        <v>0</v>
      </c>
      <c r="N26">
        <f t="shared" si="0"/>
        <v>-1</v>
      </c>
      <c r="O26">
        <f t="shared" si="1"/>
        <v>2</v>
      </c>
    </row>
    <row r="27" spans="1:15" x14ac:dyDescent="0.3">
      <c r="A27" t="s">
        <v>70</v>
      </c>
      <c r="B27" t="s">
        <v>132</v>
      </c>
      <c r="C27" t="s">
        <v>178</v>
      </c>
      <c r="D27" t="s">
        <v>294</v>
      </c>
      <c r="E27" t="s">
        <v>615</v>
      </c>
      <c r="F27">
        <v>1.75</v>
      </c>
      <c r="G27">
        <v>5.3</v>
      </c>
      <c r="H27">
        <v>3.75</v>
      </c>
      <c r="I27">
        <v>2.12</v>
      </c>
      <c r="J27" t="s">
        <v>670</v>
      </c>
      <c r="K27">
        <v>2</v>
      </c>
      <c r="L27">
        <v>0</v>
      </c>
      <c r="M27">
        <v>0</v>
      </c>
      <c r="N27">
        <f t="shared" si="0"/>
        <v>-1</v>
      </c>
      <c r="O27">
        <f t="shared" si="1"/>
        <v>2</v>
      </c>
    </row>
    <row r="28" spans="1:15" x14ac:dyDescent="0.3">
      <c r="A28" t="s">
        <v>70</v>
      </c>
      <c r="B28" t="s">
        <v>98</v>
      </c>
      <c r="C28" t="s">
        <v>153</v>
      </c>
      <c r="D28" t="s">
        <v>411</v>
      </c>
      <c r="E28" t="s">
        <v>527</v>
      </c>
      <c r="F28">
        <v>1.79</v>
      </c>
      <c r="G28">
        <v>4.9000000000000004</v>
      </c>
      <c r="H28">
        <v>3.85</v>
      </c>
      <c r="I28">
        <v>2.2000000000000002</v>
      </c>
      <c r="J28" t="s">
        <v>670</v>
      </c>
      <c r="K28">
        <v>1</v>
      </c>
      <c r="L28">
        <v>0</v>
      </c>
      <c r="M28">
        <v>0</v>
      </c>
      <c r="N28">
        <f t="shared" si="0"/>
        <v>-1</v>
      </c>
      <c r="O28">
        <f t="shared" si="1"/>
        <v>1</v>
      </c>
    </row>
    <row r="29" spans="1:15" x14ac:dyDescent="0.3">
      <c r="A29" t="s">
        <v>70</v>
      </c>
      <c r="B29" t="s">
        <v>90</v>
      </c>
      <c r="C29" t="s">
        <v>214</v>
      </c>
      <c r="D29" t="s">
        <v>412</v>
      </c>
      <c r="E29" t="s">
        <v>616</v>
      </c>
      <c r="F29">
        <v>1.84</v>
      </c>
      <c r="G29">
        <v>4.8</v>
      </c>
      <c r="H29">
        <v>3.55</v>
      </c>
      <c r="I29">
        <v>2.1800000000000002</v>
      </c>
      <c r="J29" t="s">
        <v>670</v>
      </c>
      <c r="K29">
        <v>2</v>
      </c>
      <c r="L29">
        <v>1</v>
      </c>
      <c r="M29">
        <v>1</v>
      </c>
      <c r="N29">
        <f t="shared" si="0"/>
        <v>1.1033000000000002</v>
      </c>
      <c r="O29">
        <f t="shared" si="1"/>
        <v>3</v>
      </c>
    </row>
    <row r="30" spans="1:15" x14ac:dyDescent="0.3">
      <c r="A30" t="s">
        <v>71</v>
      </c>
      <c r="B30" t="s">
        <v>133</v>
      </c>
      <c r="C30" t="s">
        <v>216</v>
      </c>
      <c r="D30" t="s">
        <v>413</v>
      </c>
      <c r="E30" t="s">
        <v>617</v>
      </c>
      <c r="F30">
        <v>1.75</v>
      </c>
      <c r="G30">
        <v>5.2</v>
      </c>
      <c r="H30">
        <v>3.5</v>
      </c>
      <c r="I30">
        <v>2.08</v>
      </c>
      <c r="J30" t="s">
        <v>670</v>
      </c>
      <c r="K30">
        <v>2</v>
      </c>
      <c r="L30">
        <v>0</v>
      </c>
      <c r="M30">
        <v>0</v>
      </c>
      <c r="N30">
        <f t="shared" si="0"/>
        <v>-1</v>
      </c>
      <c r="O30">
        <f t="shared" si="1"/>
        <v>2</v>
      </c>
    </row>
    <row r="31" spans="1:15" x14ac:dyDescent="0.3">
      <c r="A31" t="s">
        <v>71</v>
      </c>
      <c r="B31" t="s">
        <v>134</v>
      </c>
      <c r="C31" t="s">
        <v>217</v>
      </c>
      <c r="D31" t="s">
        <v>414</v>
      </c>
      <c r="E31" t="s">
        <v>618</v>
      </c>
      <c r="F31">
        <v>1.62</v>
      </c>
      <c r="G31">
        <v>5.7</v>
      </c>
      <c r="H31">
        <v>3.7</v>
      </c>
      <c r="I31">
        <v>1.97</v>
      </c>
      <c r="J31" t="s">
        <v>670</v>
      </c>
      <c r="K31">
        <v>2</v>
      </c>
      <c r="L31">
        <v>2</v>
      </c>
      <c r="M31">
        <v>1</v>
      </c>
      <c r="N31">
        <f t="shared" si="0"/>
        <v>0.90695000000000003</v>
      </c>
      <c r="O31">
        <f t="shared" si="1"/>
        <v>4</v>
      </c>
    </row>
    <row r="32" spans="1:15" x14ac:dyDescent="0.3">
      <c r="A32" t="s">
        <v>71</v>
      </c>
      <c r="B32" t="s">
        <v>108</v>
      </c>
      <c r="C32" t="s">
        <v>179</v>
      </c>
      <c r="D32" t="s">
        <v>415</v>
      </c>
      <c r="E32" t="s">
        <v>299</v>
      </c>
      <c r="F32">
        <v>2.08</v>
      </c>
      <c r="G32">
        <v>4.0999999999999996</v>
      </c>
      <c r="H32">
        <v>3.15</v>
      </c>
      <c r="I32">
        <v>2.4</v>
      </c>
      <c r="J32" t="s">
        <v>670</v>
      </c>
      <c r="K32">
        <v>4</v>
      </c>
      <c r="L32">
        <v>3</v>
      </c>
      <c r="M32">
        <v>1</v>
      </c>
      <c r="N32">
        <f t="shared" si="0"/>
        <v>1.3089999999999999</v>
      </c>
      <c r="O32">
        <f t="shared" si="1"/>
        <v>7</v>
      </c>
    </row>
    <row r="33" spans="1:15" x14ac:dyDescent="0.3">
      <c r="A33" t="s">
        <v>71</v>
      </c>
      <c r="B33" t="s">
        <v>108</v>
      </c>
      <c r="C33" t="s">
        <v>218</v>
      </c>
      <c r="D33" t="s">
        <v>416</v>
      </c>
      <c r="E33" t="s">
        <v>619</v>
      </c>
      <c r="F33">
        <v>1.53</v>
      </c>
      <c r="G33">
        <v>7</v>
      </c>
      <c r="H33">
        <v>4.0999999999999996</v>
      </c>
      <c r="I33">
        <v>1.92</v>
      </c>
      <c r="J33" t="s">
        <v>670</v>
      </c>
      <c r="K33">
        <v>2</v>
      </c>
      <c r="L33">
        <v>2</v>
      </c>
      <c r="M33">
        <v>1</v>
      </c>
      <c r="N33">
        <f t="shared" si="0"/>
        <v>0.86019999999999996</v>
      </c>
      <c r="O33">
        <f t="shared" si="1"/>
        <v>4</v>
      </c>
    </row>
    <row r="34" spans="1:15" x14ac:dyDescent="0.3">
      <c r="A34" t="s">
        <v>71</v>
      </c>
      <c r="B34" t="s">
        <v>97</v>
      </c>
      <c r="C34" t="s">
        <v>151</v>
      </c>
      <c r="D34" t="s">
        <v>417</v>
      </c>
      <c r="E34" t="s">
        <v>487</v>
      </c>
      <c r="F34">
        <v>1.79</v>
      </c>
      <c r="G34">
        <v>5.3</v>
      </c>
      <c r="H34">
        <v>3.75</v>
      </c>
      <c r="I34">
        <v>2.16</v>
      </c>
      <c r="J34" t="s">
        <v>670</v>
      </c>
      <c r="K34">
        <v>2</v>
      </c>
      <c r="L34">
        <v>1</v>
      </c>
      <c r="M34">
        <v>1</v>
      </c>
      <c r="N34">
        <f t="shared" si="0"/>
        <v>1.0846000000000002</v>
      </c>
      <c r="O34">
        <f t="shared" si="1"/>
        <v>3</v>
      </c>
    </row>
    <row r="35" spans="1:15" x14ac:dyDescent="0.3">
      <c r="A35" t="s">
        <v>71</v>
      </c>
      <c r="B35" t="s">
        <v>97</v>
      </c>
      <c r="C35" t="s">
        <v>172</v>
      </c>
      <c r="D35" t="s">
        <v>309</v>
      </c>
      <c r="E35" t="s">
        <v>620</v>
      </c>
      <c r="F35">
        <v>2.14</v>
      </c>
      <c r="G35">
        <v>3.95</v>
      </c>
      <c r="H35">
        <v>2.92</v>
      </c>
      <c r="I35">
        <v>2.66</v>
      </c>
      <c r="J35" t="s">
        <v>670</v>
      </c>
      <c r="K35">
        <v>1</v>
      </c>
      <c r="L35">
        <v>3</v>
      </c>
      <c r="M35">
        <v>1</v>
      </c>
      <c r="N35">
        <f t="shared" si="0"/>
        <v>1.5521000000000003</v>
      </c>
      <c r="O35">
        <f t="shared" si="1"/>
        <v>4</v>
      </c>
    </row>
    <row r="36" spans="1:15" x14ac:dyDescent="0.3">
      <c r="A36" t="s">
        <v>71</v>
      </c>
      <c r="B36" t="s">
        <v>135</v>
      </c>
      <c r="C36" t="s">
        <v>146</v>
      </c>
      <c r="D36" t="s">
        <v>367</v>
      </c>
      <c r="E36" t="s">
        <v>621</v>
      </c>
      <c r="F36">
        <v>1.6</v>
      </c>
      <c r="G36">
        <v>6.8</v>
      </c>
      <c r="H36">
        <v>4</v>
      </c>
      <c r="I36">
        <v>1.97</v>
      </c>
      <c r="J36" t="s">
        <v>670</v>
      </c>
      <c r="K36">
        <v>2</v>
      </c>
      <c r="L36">
        <v>0</v>
      </c>
      <c r="M36">
        <v>0</v>
      </c>
      <c r="N36">
        <f t="shared" si="0"/>
        <v>-1</v>
      </c>
      <c r="O36">
        <f t="shared" si="1"/>
        <v>2</v>
      </c>
    </row>
    <row r="37" spans="1:15" x14ac:dyDescent="0.3">
      <c r="A37" t="s">
        <v>71</v>
      </c>
      <c r="B37" t="s">
        <v>110</v>
      </c>
      <c r="C37" t="s">
        <v>179</v>
      </c>
      <c r="D37" t="s">
        <v>418</v>
      </c>
      <c r="E37" t="s">
        <v>622</v>
      </c>
      <c r="F37">
        <v>2.2999999999999998</v>
      </c>
      <c r="G37">
        <v>3.65</v>
      </c>
      <c r="H37">
        <v>2.98</v>
      </c>
      <c r="I37">
        <v>2.74</v>
      </c>
      <c r="J37" t="s">
        <v>670</v>
      </c>
      <c r="K37">
        <v>1</v>
      </c>
      <c r="L37">
        <v>1</v>
      </c>
      <c r="M37">
        <v>0</v>
      </c>
      <c r="N37">
        <f t="shared" si="0"/>
        <v>-1</v>
      </c>
      <c r="O37">
        <f t="shared" si="1"/>
        <v>2</v>
      </c>
    </row>
    <row r="38" spans="1:15" x14ac:dyDescent="0.3">
      <c r="A38" t="s">
        <v>71</v>
      </c>
      <c r="B38" t="s">
        <v>101</v>
      </c>
      <c r="C38" t="s">
        <v>162</v>
      </c>
      <c r="D38" t="s">
        <v>419</v>
      </c>
      <c r="E38" t="s">
        <v>623</v>
      </c>
      <c r="F38">
        <v>1.9</v>
      </c>
      <c r="G38">
        <v>5.2</v>
      </c>
      <c r="H38">
        <v>3.5</v>
      </c>
      <c r="I38">
        <v>2.2799999999999998</v>
      </c>
      <c r="J38" t="s">
        <v>670</v>
      </c>
      <c r="K38">
        <v>1</v>
      </c>
      <c r="L38">
        <v>1</v>
      </c>
      <c r="M38">
        <v>0</v>
      </c>
      <c r="N38">
        <f t="shared" si="0"/>
        <v>-1</v>
      </c>
      <c r="O38">
        <f t="shared" si="1"/>
        <v>2</v>
      </c>
    </row>
    <row r="39" spans="1:15" x14ac:dyDescent="0.3">
      <c r="A39" t="s">
        <v>71</v>
      </c>
      <c r="B39" t="s">
        <v>101</v>
      </c>
      <c r="C39" t="s">
        <v>202</v>
      </c>
      <c r="D39" t="s">
        <v>420</v>
      </c>
      <c r="E39" t="s">
        <v>624</v>
      </c>
      <c r="F39">
        <v>1.71</v>
      </c>
      <c r="G39">
        <v>5.7</v>
      </c>
      <c r="H39">
        <v>3.65</v>
      </c>
      <c r="I39">
        <v>2.1</v>
      </c>
      <c r="J39" t="s">
        <v>670</v>
      </c>
      <c r="K39">
        <v>0</v>
      </c>
      <c r="L39">
        <v>1</v>
      </c>
      <c r="M39">
        <v>0</v>
      </c>
      <c r="N39">
        <f t="shared" si="0"/>
        <v>-1</v>
      </c>
      <c r="O39">
        <f t="shared" si="1"/>
        <v>1</v>
      </c>
    </row>
    <row r="40" spans="1:15" x14ac:dyDescent="0.3">
      <c r="A40" t="s">
        <v>71</v>
      </c>
      <c r="B40" t="s">
        <v>91</v>
      </c>
      <c r="C40" t="s">
        <v>152</v>
      </c>
      <c r="D40" t="s">
        <v>421</v>
      </c>
      <c r="E40" t="s">
        <v>278</v>
      </c>
      <c r="F40">
        <v>1.65</v>
      </c>
      <c r="G40">
        <v>6.2</v>
      </c>
      <c r="H40">
        <v>4</v>
      </c>
      <c r="I40">
        <v>2</v>
      </c>
      <c r="J40" t="s">
        <v>670</v>
      </c>
      <c r="K40">
        <v>3</v>
      </c>
      <c r="L40">
        <v>1</v>
      </c>
      <c r="M40">
        <v>1</v>
      </c>
      <c r="N40">
        <f t="shared" si="0"/>
        <v>0.93500000000000005</v>
      </c>
      <c r="O40">
        <f t="shared" si="1"/>
        <v>4</v>
      </c>
    </row>
    <row r="41" spans="1:15" x14ac:dyDescent="0.3">
      <c r="A41" t="s">
        <v>71</v>
      </c>
      <c r="B41" t="s">
        <v>89</v>
      </c>
      <c r="C41" t="s">
        <v>142</v>
      </c>
      <c r="D41" t="s">
        <v>422</v>
      </c>
      <c r="E41" t="s">
        <v>405</v>
      </c>
      <c r="F41">
        <v>1.95</v>
      </c>
      <c r="G41">
        <v>5.0999999999999996</v>
      </c>
      <c r="H41">
        <v>3.3</v>
      </c>
      <c r="I41">
        <v>2.38</v>
      </c>
      <c r="J41" t="s">
        <v>670</v>
      </c>
      <c r="K41">
        <v>1</v>
      </c>
      <c r="L41">
        <v>0</v>
      </c>
      <c r="M41">
        <v>0</v>
      </c>
      <c r="N41">
        <f t="shared" si="0"/>
        <v>-1</v>
      </c>
      <c r="O41">
        <f t="shared" si="1"/>
        <v>1</v>
      </c>
    </row>
    <row r="42" spans="1:15" x14ac:dyDescent="0.3">
      <c r="A42" t="s">
        <v>71</v>
      </c>
      <c r="B42" t="s">
        <v>129</v>
      </c>
      <c r="C42" t="s">
        <v>143</v>
      </c>
      <c r="D42" t="s">
        <v>423</v>
      </c>
      <c r="E42" t="s">
        <v>625</v>
      </c>
      <c r="F42">
        <v>1.8</v>
      </c>
      <c r="G42">
        <v>5.6</v>
      </c>
      <c r="H42">
        <v>3.6</v>
      </c>
      <c r="I42">
        <v>2.2599999999999998</v>
      </c>
      <c r="J42" t="s">
        <v>670</v>
      </c>
      <c r="K42">
        <v>0</v>
      </c>
      <c r="L42">
        <v>1</v>
      </c>
      <c r="M42">
        <v>0</v>
      </c>
      <c r="N42">
        <f t="shared" si="0"/>
        <v>-1</v>
      </c>
      <c r="O42">
        <f t="shared" si="1"/>
        <v>1</v>
      </c>
    </row>
    <row r="43" spans="1:15" x14ac:dyDescent="0.3">
      <c r="A43" t="s">
        <v>71</v>
      </c>
      <c r="B43" t="s">
        <v>121</v>
      </c>
      <c r="C43" t="s">
        <v>142</v>
      </c>
      <c r="D43" t="s">
        <v>424</v>
      </c>
      <c r="E43" t="s">
        <v>612</v>
      </c>
      <c r="F43">
        <v>3.1</v>
      </c>
      <c r="G43">
        <v>3</v>
      </c>
      <c r="H43">
        <v>2.8</v>
      </c>
      <c r="I43">
        <v>3.6</v>
      </c>
      <c r="J43" t="s">
        <v>670</v>
      </c>
      <c r="K43">
        <v>1</v>
      </c>
      <c r="L43">
        <v>1</v>
      </c>
      <c r="M43">
        <v>0</v>
      </c>
      <c r="N43">
        <f t="shared" si="0"/>
        <v>-1</v>
      </c>
      <c r="O43">
        <f t="shared" si="1"/>
        <v>2</v>
      </c>
    </row>
    <row r="44" spans="1:15" x14ac:dyDescent="0.3">
      <c r="A44" t="s">
        <v>72</v>
      </c>
      <c r="B44" t="s">
        <v>136</v>
      </c>
      <c r="C44" t="s">
        <v>219</v>
      </c>
      <c r="D44" t="s">
        <v>425</v>
      </c>
      <c r="E44" t="s">
        <v>626</v>
      </c>
      <c r="F44">
        <v>1.68</v>
      </c>
      <c r="G44">
        <v>5.9</v>
      </c>
      <c r="H44">
        <v>3.75</v>
      </c>
      <c r="I44">
        <v>2.08</v>
      </c>
      <c r="J44" t="s">
        <v>670</v>
      </c>
      <c r="K44">
        <v>2</v>
      </c>
      <c r="L44">
        <v>1</v>
      </c>
      <c r="M44">
        <v>1</v>
      </c>
      <c r="N44">
        <f t="shared" si="0"/>
        <v>1.0098</v>
      </c>
      <c r="O44">
        <f t="shared" si="1"/>
        <v>3</v>
      </c>
    </row>
    <row r="45" spans="1:15" x14ac:dyDescent="0.3">
      <c r="A45" t="s">
        <v>72</v>
      </c>
      <c r="B45" t="s">
        <v>104</v>
      </c>
      <c r="C45" t="s">
        <v>219</v>
      </c>
      <c r="D45" t="s">
        <v>426</v>
      </c>
      <c r="E45" t="s">
        <v>627</v>
      </c>
      <c r="F45">
        <v>1.89</v>
      </c>
      <c r="G45">
        <v>5.6</v>
      </c>
      <c r="H45">
        <v>3.3</v>
      </c>
      <c r="I45">
        <v>2.2799999999999998</v>
      </c>
      <c r="J45" t="s">
        <v>670</v>
      </c>
      <c r="K45">
        <v>0</v>
      </c>
      <c r="L45">
        <v>1</v>
      </c>
      <c r="M45">
        <v>0</v>
      </c>
      <c r="N45">
        <f t="shared" si="0"/>
        <v>-1</v>
      </c>
      <c r="O45">
        <f t="shared" si="1"/>
        <v>1</v>
      </c>
    </row>
    <row r="46" spans="1:15" x14ac:dyDescent="0.3">
      <c r="A46" t="s">
        <v>72</v>
      </c>
      <c r="B46" t="s">
        <v>96</v>
      </c>
      <c r="C46" t="s">
        <v>213</v>
      </c>
      <c r="D46" t="s">
        <v>427</v>
      </c>
      <c r="E46" t="s">
        <v>403</v>
      </c>
      <c r="F46">
        <v>1.85</v>
      </c>
      <c r="G46">
        <v>5.0999999999999996</v>
      </c>
      <c r="H46">
        <v>3.6</v>
      </c>
      <c r="I46">
        <v>2.2999999999999998</v>
      </c>
      <c r="J46" t="s">
        <v>670</v>
      </c>
      <c r="K46">
        <v>0</v>
      </c>
      <c r="L46">
        <v>1</v>
      </c>
      <c r="M46">
        <v>0</v>
      </c>
      <c r="N46">
        <f t="shared" si="0"/>
        <v>-1</v>
      </c>
      <c r="O46">
        <f t="shared" si="1"/>
        <v>1</v>
      </c>
    </row>
    <row r="47" spans="1:15" x14ac:dyDescent="0.3">
      <c r="A47" t="s">
        <v>72</v>
      </c>
      <c r="B47" t="s">
        <v>108</v>
      </c>
      <c r="C47" t="s">
        <v>179</v>
      </c>
      <c r="D47" t="s">
        <v>428</v>
      </c>
      <c r="E47" t="s">
        <v>557</v>
      </c>
      <c r="F47">
        <v>2.2200000000000002</v>
      </c>
      <c r="G47">
        <v>3.8</v>
      </c>
      <c r="H47">
        <v>2.94</v>
      </c>
      <c r="I47">
        <v>2.72</v>
      </c>
      <c r="J47" t="s">
        <v>670</v>
      </c>
      <c r="K47">
        <v>0</v>
      </c>
      <c r="L47">
        <v>4</v>
      </c>
      <c r="M47">
        <v>1</v>
      </c>
      <c r="N47">
        <f t="shared" si="0"/>
        <v>1.6082000000000003</v>
      </c>
      <c r="O47">
        <f t="shared" si="1"/>
        <v>4</v>
      </c>
    </row>
    <row r="48" spans="1:15" x14ac:dyDescent="0.3">
      <c r="A48" t="s">
        <v>72</v>
      </c>
      <c r="B48" t="s">
        <v>102</v>
      </c>
      <c r="C48" t="s">
        <v>159</v>
      </c>
      <c r="D48" t="s">
        <v>429</v>
      </c>
      <c r="E48" t="s">
        <v>255</v>
      </c>
      <c r="F48">
        <v>2.02</v>
      </c>
      <c r="G48">
        <v>4.5</v>
      </c>
      <c r="H48">
        <v>3.4</v>
      </c>
      <c r="I48">
        <v>2.38</v>
      </c>
      <c r="J48" t="s">
        <v>670</v>
      </c>
      <c r="K48">
        <v>3</v>
      </c>
      <c r="L48">
        <v>1</v>
      </c>
      <c r="M48">
        <v>1</v>
      </c>
      <c r="N48">
        <f t="shared" si="0"/>
        <v>1.2903</v>
      </c>
      <c r="O48">
        <f t="shared" si="1"/>
        <v>4</v>
      </c>
    </row>
    <row r="49" spans="1:15" x14ac:dyDescent="0.3">
      <c r="A49" t="s">
        <v>72</v>
      </c>
      <c r="B49" t="s">
        <v>98</v>
      </c>
      <c r="C49" t="s">
        <v>143</v>
      </c>
      <c r="D49" t="s">
        <v>430</v>
      </c>
      <c r="E49" t="s">
        <v>628</v>
      </c>
      <c r="F49">
        <v>1.96</v>
      </c>
      <c r="G49">
        <v>4.8</v>
      </c>
      <c r="H49">
        <v>3.45</v>
      </c>
      <c r="I49">
        <v>2.34</v>
      </c>
      <c r="J49" t="s">
        <v>670</v>
      </c>
      <c r="K49">
        <v>0</v>
      </c>
      <c r="L49">
        <v>0</v>
      </c>
      <c r="M49">
        <v>0</v>
      </c>
      <c r="N49">
        <f t="shared" si="0"/>
        <v>-1</v>
      </c>
      <c r="O49">
        <f t="shared" si="1"/>
        <v>0</v>
      </c>
    </row>
    <row r="50" spans="1:15" x14ac:dyDescent="0.3">
      <c r="A50" t="s">
        <v>72</v>
      </c>
      <c r="B50" t="s">
        <v>115</v>
      </c>
      <c r="C50" t="s">
        <v>164</v>
      </c>
      <c r="D50" t="s">
        <v>431</v>
      </c>
      <c r="E50" t="s">
        <v>629</v>
      </c>
      <c r="F50">
        <v>1.82</v>
      </c>
      <c r="G50">
        <v>5.2</v>
      </c>
      <c r="H50">
        <v>3.5</v>
      </c>
      <c r="I50">
        <v>2.2200000000000002</v>
      </c>
      <c r="J50" t="s">
        <v>670</v>
      </c>
      <c r="K50">
        <v>2</v>
      </c>
      <c r="L50">
        <v>0</v>
      </c>
      <c r="M50">
        <v>0</v>
      </c>
      <c r="N50">
        <f t="shared" si="0"/>
        <v>-1</v>
      </c>
      <c r="O50">
        <f t="shared" si="1"/>
        <v>2</v>
      </c>
    </row>
    <row r="51" spans="1:15" x14ac:dyDescent="0.3">
      <c r="A51" t="s">
        <v>72</v>
      </c>
      <c r="B51" t="s">
        <v>115</v>
      </c>
      <c r="C51" t="s">
        <v>212</v>
      </c>
      <c r="D51" t="s">
        <v>432</v>
      </c>
      <c r="E51" t="s">
        <v>630</v>
      </c>
      <c r="F51">
        <v>1.78</v>
      </c>
      <c r="G51">
        <v>5.2</v>
      </c>
      <c r="H51">
        <v>3.8</v>
      </c>
      <c r="I51">
        <v>2.08</v>
      </c>
      <c r="J51" t="s">
        <v>670</v>
      </c>
      <c r="K51">
        <v>1</v>
      </c>
      <c r="L51">
        <v>1</v>
      </c>
      <c r="M51">
        <v>0</v>
      </c>
      <c r="N51">
        <f t="shared" si="0"/>
        <v>-1</v>
      </c>
      <c r="O51">
        <f t="shared" si="1"/>
        <v>2</v>
      </c>
    </row>
    <row r="52" spans="1:15" x14ac:dyDescent="0.3">
      <c r="A52" t="s">
        <v>72</v>
      </c>
      <c r="B52" t="s">
        <v>123</v>
      </c>
      <c r="C52" t="s">
        <v>158</v>
      </c>
      <c r="D52" t="s">
        <v>433</v>
      </c>
      <c r="E52" t="s">
        <v>631</v>
      </c>
      <c r="F52">
        <v>1.84</v>
      </c>
      <c r="G52">
        <v>5.3</v>
      </c>
      <c r="H52">
        <v>3.6</v>
      </c>
      <c r="I52">
        <v>2.2200000000000002</v>
      </c>
      <c r="J52" t="s">
        <v>670</v>
      </c>
      <c r="K52">
        <v>1</v>
      </c>
      <c r="L52">
        <v>0</v>
      </c>
      <c r="M52">
        <v>0</v>
      </c>
      <c r="N52">
        <f t="shared" si="0"/>
        <v>-1</v>
      </c>
      <c r="O52">
        <f t="shared" si="1"/>
        <v>1</v>
      </c>
    </row>
    <row r="53" spans="1:15" x14ac:dyDescent="0.3">
      <c r="A53" t="s">
        <v>73</v>
      </c>
      <c r="B53" t="s">
        <v>137</v>
      </c>
      <c r="C53" t="s">
        <v>220</v>
      </c>
      <c r="D53" t="s">
        <v>434</v>
      </c>
      <c r="E53" t="s">
        <v>632</v>
      </c>
      <c r="F53">
        <v>1.68</v>
      </c>
      <c r="G53">
        <v>5.5</v>
      </c>
      <c r="H53">
        <v>3.8</v>
      </c>
      <c r="I53">
        <v>2</v>
      </c>
      <c r="J53" t="s">
        <v>670</v>
      </c>
      <c r="K53">
        <v>3</v>
      </c>
      <c r="L53">
        <v>0</v>
      </c>
      <c r="M53">
        <v>1</v>
      </c>
      <c r="N53">
        <f t="shared" si="0"/>
        <v>0.93500000000000005</v>
      </c>
      <c r="O53">
        <f t="shared" si="1"/>
        <v>3</v>
      </c>
    </row>
    <row r="54" spans="1:15" x14ac:dyDescent="0.3">
      <c r="A54" t="s">
        <v>73</v>
      </c>
      <c r="B54" t="s">
        <v>90</v>
      </c>
      <c r="C54" t="s">
        <v>142</v>
      </c>
      <c r="D54" t="s">
        <v>435</v>
      </c>
      <c r="E54" t="s">
        <v>633</v>
      </c>
      <c r="F54">
        <v>3.05</v>
      </c>
      <c r="G54">
        <v>3.2</v>
      </c>
      <c r="H54">
        <v>2.72</v>
      </c>
      <c r="I54">
        <v>3.6</v>
      </c>
      <c r="J54" t="s">
        <v>670</v>
      </c>
      <c r="K54">
        <v>0</v>
      </c>
      <c r="L54">
        <v>1</v>
      </c>
      <c r="M54">
        <v>0</v>
      </c>
      <c r="N54">
        <f t="shared" si="0"/>
        <v>-1</v>
      </c>
      <c r="O54">
        <f t="shared" si="1"/>
        <v>1</v>
      </c>
    </row>
    <row r="55" spans="1:15" x14ac:dyDescent="0.3">
      <c r="A55" t="s">
        <v>73</v>
      </c>
      <c r="B55" t="s">
        <v>90</v>
      </c>
      <c r="C55" t="s">
        <v>214</v>
      </c>
      <c r="D55" t="s">
        <v>436</v>
      </c>
      <c r="E55" t="s">
        <v>634</v>
      </c>
      <c r="F55">
        <v>2.2000000000000002</v>
      </c>
      <c r="G55">
        <v>3.9</v>
      </c>
      <c r="H55">
        <v>3.2</v>
      </c>
      <c r="I55">
        <v>2.6</v>
      </c>
      <c r="J55" t="s">
        <v>670</v>
      </c>
      <c r="K55">
        <v>1</v>
      </c>
      <c r="L55">
        <v>0</v>
      </c>
      <c r="M55">
        <v>0</v>
      </c>
      <c r="N55">
        <f t="shared" si="0"/>
        <v>-1</v>
      </c>
      <c r="O55">
        <f t="shared" si="1"/>
        <v>1</v>
      </c>
    </row>
    <row r="56" spans="1:15" x14ac:dyDescent="0.3">
      <c r="A56" t="s">
        <v>73</v>
      </c>
      <c r="B56" t="s">
        <v>90</v>
      </c>
      <c r="C56" t="s">
        <v>214</v>
      </c>
      <c r="D56" t="s">
        <v>437</v>
      </c>
      <c r="E56" t="s">
        <v>635</v>
      </c>
      <c r="F56">
        <v>1.99</v>
      </c>
      <c r="G56">
        <v>4.7</v>
      </c>
      <c r="H56">
        <v>3.45</v>
      </c>
      <c r="I56">
        <v>2.2799999999999998</v>
      </c>
      <c r="J56" t="s">
        <v>670</v>
      </c>
      <c r="K56">
        <v>0</v>
      </c>
      <c r="L56">
        <v>1</v>
      </c>
      <c r="M56">
        <v>0</v>
      </c>
      <c r="N56">
        <f t="shared" si="0"/>
        <v>-1</v>
      </c>
      <c r="O56">
        <f t="shared" si="1"/>
        <v>1</v>
      </c>
    </row>
    <row r="57" spans="1:15" x14ac:dyDescent="0.3">
      <c r="A57" t="s">
        <v>74</v>
      </c>
      <c r="B57" t="s">
        <v>138</v>
      </c>
      <c r="C57" t="s">
        <v>143</v>
      </c>
      <c r="D57" t="s">
        <v>243</v>
      </c>
      <c r="E57" t="s">
        <v>234</v>
      </c>
      <c r="F57">
        <v>1.71</v>
      </c>
      <c r="G57">
        <v>6</v>
      </c>
      <c r="H57">
        <v>3.9</v>
      </c>
      <c r="I57">
        <v>2.1</v>
      </c>
      <c r="J57" t="s">
        <v>670</v>
      </c>
      <c r="K57">
        <v>3</v>
      </c>
      <c r="L57">
        <v>3</v>
      </c>
      <c r="M57">
        <v>1</v>
      </c>
      <c r="N57">
        <f t="shared" si="0"/>
        <v>1.0285000000000002</v>
      </c>
      <c r="O57">
        <f t="shared" si="1"/>
        <v>6</v>
      </c>
    </row>
    <row r="58" spans="1:15" x14ac:dyDescent="0.3">
      <c r="A58" t="s">
        <v>75</v>
      </c>
      <c r="B58" t="s">
        <v>124</v>
      </c>
      <c r="C58" t="s">
        <v>194</v>
      </c>
      <c r="D58" t="s">
        <v>334</v>
      </c>
      <c r="E58" t="s">
        <v>636</v>
      </c>
      <c r="F58">
        <v>1.53</v>
      </c>
      <c r="G58">
        <v>5.7</v>
      </c>
      <c r="H58">
        <v>3.45</v>
      </c>
      <c r="I58">
        <v>1.88</v>
      </c>
      <c r="J58" t="s">
        <v>670</v>
      </c>
      <c r="K58">
        <v>1</v>
      </c>
      <c r="L58">
        <v>0</v>
      </c>
      <c r="M58">
        <v>0</v>
      </c>
      <c r="N58">
        <f t="shared" si="0"/>
        <v>-1</v>
      </c>
      <c r="O58">
        <f t="shared" si="1"/>
        <v>1</v>
      </c>
    </row>
    <row r="59" spans="1:15" x14ac:dyDescent="0.3">
      <c r="A59" t="s">
        <v>75</v>
      </c>
      <c r="B59" t="s">
        <v>93</v>
      </c>
      <c r="C59" t="s">
        <v>221</v>
      </c>
      <c r="D59" t="s">
        <v>438</v>
      </c>
      <c r="E59" t="s">
        <v>637</v>
      </c>
      <c r="F59">
        <v>1.96</v>
      </c>
      <c r="G59">
        <v>4.5999999999999996</v>
      </c>
      <c r="H59">
        <v>3.6</v>
      </c>
      <c r="I59">
        <v>2.34</v>
      </c>
      <c r="J59" t="s">
        <v>670</v>
      </c>
      <c r="K59">
        <v>2</v>
      </c>
      <c r="L59">
        <v>3</v>
      </c>
      <c r="M59">
        <v>1</v>
      </c>
      <c r="N59">
        <f t="shared" si="0"/>
        <v>1.2528999999999999</v>
      </c>
      <c r="O59">
        <f t="shared" si="1"/>
        <v>5</v>
      </c>
    </row>
    <row r="60" spans="1:15" x14ac:dyDescent="0.3">
      <c r="A60" t="s">
        <v>75</v>
      </c>
      <c r="B60" t="s">
        <v>110</v>
      </c>
      <c r="C60" t="s">
        <v>221</v>
      </c>
      <c r="D60" t="s">
        <v>439</v>
      </c>
      <c r="E60" t="s">
        <v>638</v>
      </c>
      <c r="F60">
        <v>1.78</v>
      </c>
      <c r="G60">
        <v>5.7</v>
      </c>
      <c r="H60">
        <v>3.75</v>
      </c>
      <c r="I60">
        <v>2.16</v>
      </c>
      <c r="J60" t="s">
        <v>670</v>
      </c>
      <c r="K60">
        <v>2</v>
      </c>
      <c r="L60">
        <v>0</v>
      </c>
      <c r="M60">
        <v>0</v>
      </c>
      <c r="N60">
        <f t="shared" si="0"/>
        <v>-1</v>
      </c>
      <c r="O60">
        <f t="shared" si="1"/>
        <v>2</v>
      </c>
    </row>
    <row r="61" spans="1:15" x14ac:dyDescent="0.3">
      <c r="A61" t="s">
        <v>75</v>
      </c>
      <c r="B61" t="s">
        <v>102</v>
      </c>
      <c r="C61" t="s">
        <v>179</v>
      </c>
      <c r="D61" t="s">
        <v>332</v>
      </c>
      <c r="E61" t="s">
        <v>457</v>
      </c>
      <c r="F61">
        <v>2.04</v>
      </c>
      <c r="G61">
        <v>4.0999999999999996</v>
      </c>
      <c r="H61">
        <v>2.96</v>
      </c>
      <c r="I61">
        <v>2.56</v>
      </c>
      <c r="J61" t="s">
        <v>670</v>
      </c>
      <c r="K61">
        <v>2</v>
      </c>
      <c r="L61">
        <v>1</v>
      </c>
      <c r="M61">
        <v>1</v>
      </c>
      <c r="N61">
        <f t="shared" si="0"/>
        <v>1.4586000000000001</v>
      </c>
      <c r="O61">
        <f t="shared" si="1"/>
        <v>3</v>
      </c>
    </row>
    <row r="62" spans="1:15" x14ac:dyDescent="0.3">
      <c r="A62" t="s">
        <v>75</v>
      </c>
      <c r="B62" t="s">
        <v>98</v>
      </c>
      <c r="C62" t="s">
        <v>222</v>
      </c>
      <c r="D62" t="s">
        <v>440</v>
      </c>
      <c r="E62" t="s">
        <v>535</v>
      </c>
      <c r="F62">
        <v>2.16</v>
      </c>
      <c r="G62">
        <v>4.2</v>
      </c>
      <c r="H62">
        <v>2.94</v>
      </c>
      <c r="I62">
        <v>2.62</v>
      </c>
      <c r="J62" t="s">
        <v>670</v>
      </c>
      <c r="K62">
        <v>1</v>
      </c>
      <c r="L62">
        <v>1</v>
      </c>
      <c r="M62">
        <v>0</v>
      </c>
      <c r="N62">
        <f t="shared" si="0"/>
        <v>-1</v>
      </c>
      <c r="O62">
        <f t="shared" si="1"/>
        <v>2</v>
      </c>
    </row>
    <row r="63" spans="1:15" x14ac:dyDescent="0.3">
      <c r="A63" t="s">
        <v>75</v>
      </c>
      <c r="B63" t="s">
        <v>89</v>
      </c>
      <c r="C63" t="s">
        <v>159</v>
      </c>
      <c r="D63" t="s">
        <v>255</v>
      </c>
      <c r="E63" t="s">
        <v>607</v>
      </c>
      <c r="F63">
        <v>2.36</v>
      </c>
      <c r="G63">
        <v>3.65</v>
      </c>
      <c r="H63">
        <v>3.05</v>
      </c>
      <c r="I63">
        <v>2.7</v>
      </c>
      <c r="J63" t="s">
        <v>670</v>
      </c>
      <c r="K63">
        <v>1</v>
      </c>
      <c r="L63">
        <v>0</v>
      </c>
      <c r="M63">
        <v>0</v>
      </c>
      <c r="N63">
        <f t="shared" si="0"/>
        <v>-1</v>
      </c>
      <c r="O63">
        <f t="shared" si="1"/>
        <v>1</v>
      </c>
    </row>
    <row r="64" spans="1:15" x14ac:dyDescent="0.3">
      <c r="A64" t="s">
        <v>76</v>
      </c>
      <c r="B64" t="s">
        <v>109</v>
      </c>
      <c r="C64" t="s">
        <v>223</v>
      </c>
      <c r="D64" t="s">
        <v>441</v>
      </c>
      <c r="E64" t="s">
        <v>639</v>
      </c>
      <c r="F64">
        <v>1.86</v>
      </c>
      <c r="G64">
        <v>4.7</v>
      </c>
      <c r="H64">
        <v>3.6</v>
      </c>
      <c r="I64">
        <v>2.2799999999999998</v>
      </c>
      <c r="J64" t="s">
        <v>670</v>
      </c>
      <c r="K64">
        <v>1</v>
      </c>
      <c r="L64">
        <v>2</v>
      </c>
      <c r="M64">
        <v>1</v>
      </c>
      <c r="N64">
        <f t="shared" si="0"/>
        <v>1.1967999999999999</v>
      </c>
      <c r="O64">
        <f t="shared" si="1"/>
        <v>3</v>
      </c>
    </row>
    <row r="65" spans="1:15" x14ac:dyDescent="0.3">
      <c r="A65" t="s">
        <v>76</v>
      </c>
      <c r="B65" t="s">
        <v>89</v>
      </c>
      <c r="C65" t="s">
        <v>142</v>
      </c>
      <c r="D65" t="s">
        <v>442</v>
      </c>
      <c r="E65" t="s">
        <v>640</v>
      </c>
      <c r="F65">
        <v>2.2599999999999998</v>
      </c>
      <c r="G65">
        <v>4</v>
      </c>
      <c r="H65">
        <v>3.1</v>
      </c>
      <c r="I65">
        <v>2.78</v>
      </c>
      <c r="J65" t="s">
        <v>670</v>
      </c>
      <c r="K65">
        <v>0</v>
      </c>
      <c r="L65">
        <v>0</v>
      </c>
      <c r="M65">
        <v>0</v>
      </c>
      <c r="N65">
        <f t="shared" si="0"/>
        <v>-1</v>
      </c>
      <c r="O65">
        <f t="shared" si="1"/>
        <v>0</v>
      </c>
    </row>
    <row r="66" spans="1:15" x14ac:dyDescent="0.3">
      <c r="A66" t="s">
        <v>76</v>
      </c>
      <c r="B66" t="s">
        <v>127</v>
      </c>
      <c r="C66" t="s">
        <v>142</v>
      </c>
      <c r="D66" t="s">
        <v>443</v>
      </c>
      <c r="E66" t="s">
        <v>480</v>
      </c>
      <c r="F66">
        <v>2.6</v>
      </c>
      <c r="G66">
        <v>3.35</v>
      </c>
      <c r="H66">
        <v>3</v>
      </c>
      <c r="I66">
        <v>3.1</v>
      </c>
      <c r="J66" t="s">
        <v>670</v>
      </c>
      <c r="K66">
        <v>0</v>
      </c>
      <c r="L66">
        <v>3</v>
      </c>
      <c r="M66">
        <v>1</v>
      </c>
      <c r="N66">
        <f t="shared" si="0"/>
        <v>1.9635000000000002</v>
      </c>
      <c r="O66">
        <f t="shared" si="1"/>
        <v>3</v>
      </c>
    </row>
    <row r="67" spans="1:15" x14ac:dyDescent="0.3">
      <c r="A67" t="s">
        <v>77</v>
      </c>
      <c r="B67" t="s">
        <v>104</v>
      </c>
      <c r="C67" t="s">
        <v>171</v>
      </c>
      <c r="D67" t="s">
        <v>444</v>
      </c>
      <c r="E67" t="s">
        <v>373</v>
      </c>
      <c r="F67">
        <v>2.06</v>
      </c>
      <c r="G67">
        <v>3.85</v>
      </c>
      <c r="H67">
        <v>2.72</v>
      </c>
      <c r="I67">
        <v>2.58</v>
      </c>
      <c r="J67" t="s">
        <v>670</v>
      </c>
      <c r="K67">
        <v>0</v>
      </c>
      <c r="L67">
        <v>1</v>
      </c>
      <c r="M67">
        <v>0</v>
      </c>
      <c r="N67">
        <f t="shared" ref="N67:N130" si="2">IF(M67=1,0.935*(I67-1),-1)</f>
        <v>-1</v>
      </c>
      <c r="O67">
        <f t="shared" ref="O67:O130" si="3">K67+L67</f>
        <v>1</v>
      </c>
    </row>
    <row r="68" spans="1:15" x14ac:dyDescent="0.3">
      <c r="A68" t="s">
        <v>77</v>
      </c>
      <c r="B68" t="s">
        <v>110</v>
      </c>
      <c r="C68" t="s">
        <v>223</v>
      </c>
      <c r="D68" t="s">
        <v>445</v>
      </c>
      <c r="E68" t="s">
        <v>641</v>
      </c>
      <c r="F68">
        <v>1.91</v>
      </c>
      <c r="G68">
        <v>4.4000000000000004</v>
      </c>
      <c r="H68">
        <v>3.65</v>
      </c>
      <c r="I68">
        <v>2.2400000000000002</v>
      </c>
      <c r="J68" t="s">
        <v>670</v>
      </c>
      <c r="K68">
        <v>2</v>
      </c>
      <c r="L68">
        <v>4</v>
      </c>
      <c r="M68">
        <v>1</v>
      </c>
      <c r="N68">
        <f t="shared" si="2"/>
        <v>1.1594000000000002</v>
      </c>
      <c r="O68">
        <f t="shared" si="3"/>
        <v>6</v>
      </c>
    </row>
    <row r="69" spans="1:15" x14ac:dyDescent="0.3">
      <c r="A69" t="s">
        <v>77</v>
      </c>
      <c r="B69" t="s">
        <v>103</v>
      </c>
      <c r="C69" t="s">
        <v>224</v>
      </c>
      <c r="D69" t="s">
        <v>446</v>
      </c>
      <c r="E69" t="s">
        <v>642</v>
      </c>
      <c r="F69">
        <v>1.72</v>
      </c>
      <c r="G69">
        <v>5.0999999999999996</v>
      </c>
      <c r="H69">
        <v>3.85</v>
      </c>
      <c r="I69">
        <v>2.12</v>
      </c>
      <c r="J69" t="s">
        <v>670</v>
      </c>
      <c r="K69">
        <v>0</v>
      </c>
      <c r="L69">
        <v>0</v>
      </c>
      <c r="M69">
        <v>0</v>
      </c>
      <c r="N69">
        <f t="shared" si="2"/>
        <v>-1</v>
      </c>
      <c r="O69">
        <f t="shared" si="3"/>
        <v>0</v>
      </c>
    </row>
    <row r="70" spans="1:15" x14ac:dyDescent="0.3">
      <c r="A70" t="s">
        <v>77</v>
      </c>
      <c r="B70" t="s">
        <v>103</v>
      </c>
      <c r="C70" t="s">
        <v>224</v>
      </c>
      <c r="D70" t="s">
        <v>447</v>
      </c>
      <c r="E70" t="s">
        <v>643</v>
      </c>
      <c r="F70">
        <v>1.99</v>
      </c>
      <c r="G70">
        <v>4.5</v>
      </c>
      <c r="H70">
        <v>3.35</v>
      </c>
      <c r="I70">
        <v>2.2799999999999998</v>
      </c>
      <c r="J70" t="s">
        <v>670</v>
      </c>
      <c r="K70">
        <v>0</v>
      </c>
      <c r="L70">
        <v>0</v>
      </c>
      <c r="M70">
        <v>0</v>
      </c>
      <c r="N70">
        <f t="shared" si="2"/>
        <v>-1</v>
      </c>
      <c r="O70">
        <f t="shared" si="3"/>
        <v>0</v>
      </c>
    </row>
    <row r="71" spans="1:15" x14ac:dyDescent="0.3">
      <c r="A71" t="s">
        <v>77</v>
      </c>
      <c r="B71" t="s">
        <v>123</v>
      </c>
      <c r="C71" t="s">
        <v>223</v>
      </c>
      <c r="D71" t="s">
        <v>448</v>
      </c>
      <c r="E71" t="s">
        <v>644</v>
      </c>
      <c r="F71">
        <v>2.1</v>
      </c>
      <c r="G71">
        <v>4.5</v>
      </c>
      <c r="H71">
        <v>3.2</v>
      </c>
      <c r="I71">
        <v>2.62</v>
      </c>
      <c r="J71" t="s">
        <v>670</v>
      </c>
      <c r="K71">
        <v>0</v>
      </c>
      <c r="L71">
        <v>2</v>
      </c>
      <c r="M71">
        <v>0</v>
      </c>
      <c r="N71">
        <f t="shared" si="2"/>
        <v>-1</v>
      </c>
      <c r="O71">
        <f t="shared" si="3"/>
        <v>2</v>
      </c>
    </row>
    <row r="72" spans="1:15" x14ac:dyDescent="0.3">
      <c r="A72" t="s">
        <v>78</v>
      </c>
      <c r="B72" t="s">
        <v>138</v>
      </c>
      <c r="C72" t="s">
        <v>158</v>
      </c>
      <c r="D72" t="s">
        <v>449</v>
      </c>
      <c r="E72" t="s">
        <v>433</v>
      </c>
      <c r="F72">
        <v>1.94</v>
      </c>
      <c r="G72">
        <v>4.5999999999999996</v>
      </c>
      <c r="H72">
        <v>3.35</v>
      </c>
      <c r="I72">
        <v>2.36</v>
      </c>
      <c r="J72" t="s">
        <v>670</v>
      </c>
      <c r="K72">
        <v>1</v>
      </c>
      <c r="L72">
        <v>0</v>
      </c>
      <c r="M72">
        <v>0</v>
      </c>
      <c r="N72">
        <f t="shared" si="2"/>
        <v>-1</v>
      </c>
      <c r="O72">
        <f t="shared" si="3"/>
        <v>1</v>
      </c>
    </row>
    <row r="73" spans="1:15" x14ac:dyDescent="0.3">
      <c r="A73" t="s">
        <v>79</v>
      </c>
      <c r="B73" t="s">
        <v>127</v>
      </c>
      <c r="C73" t="s">
        <v>225</v>
      </c>
      <c r="D73" t="s">
        <v>450</v>
      </c>
      <c r="E73" t="s">
        <v>645</v>
      </c>
      <c r="F73">
        <v>1.95</v>
      </c>
      <c r="G73">
        <v>5.0999999999999996</v>
      </c>
      <c r="H73">
        <v>3.25</v>
      </c>
      <c r="I73">
        <v>2.2799999999999998</v>
      </c>
      <c r="J73" t="s">
        <v>670</v>
      </c>
      <c r="K73">
        <v>2</v>
      </c>
      <c r="L73">
        <v>0</v>
      </c>
      <c r="M73">
        <v>0</v>
      </c>
      <c r="N73">
        <f t="shared" si="2"/>
        <v>-1</v>
      </c>
      <c r="O73">
        <f t="shared" si="3"/>
        <v>2</v>
      </c>
    </row>
    <row r="74" spans="1:15" x14ac:dyDescent="0.3">
      <c r="A74" t="s">
        <v>80</v>
      </c>
      <c r="B74" t="s">
        <v>91</v>
      </c>
      <c r="C74" t="s">
        <v>144</v>
      </c>
      <c r="D74" t="s">
        <v>451</v>
      </c>
      <c r="E74" t="s">
        <v>601</v>
      </c>
      <c r="F74">
        <v>1.75</v>
      </c>
      <c r="G74">
        <v>5.5</v>
      </c>
      <c r="H74">
        <v>3.6</v>
      </c>
      <c r="I74">
        <v>2.2000000000000002</v>
      </c>
      <c r="J74" t="s">
        <v>670</v>
      </c>
      <c r="K74">
        <v>1</v>
      </c>
      <c r="L74">
        <v>0</v>
      </c>
      <c r="M74">
        <v>0</v>
      </c>
      <c r="N74">
        <f t="shared" si="2"/>
        <v>-1</v>
      </c>
      <c r="O74">
        <f t="shared" si="3"/>
        <v>1</v>
      </c>
    </row>
    <row r="75" spans="1:15" x14ac:dyDescent="0.3">
      <c r="A75" t="s">
        <v>80</v>
      </c>
      <c r="B75" t="s">
        <v>115</v>
      </c>
      <c r="C75" t="s">
        <v>159</v>
      </c>
      <c r="D75" t="s">
        <v>314</v>
      </c>
      <c r="E75" t="s">
        <v>398</v>
      </c>
      <c r="F75">
        <v>1.8</v>
      </c>
      <c r="G75">
        <v>5.4</v>
      </c>
      <c r="H75">
        <v>3.7</v>
      </c>
      <c r="I75">
        <v>2.16</v>
      </c>
      <c r="J75" t="s">
        <v>670</v>
      </c>
      <c r="K75">
        <v>2</v>
      </c>
      <c r="L75">
        <v>1</v>
      </c>
      <c r="M75">
        <v>1</v>
      </c>
      <c r="N75">
        <f t="shared" si="2"/>
        <v>1.0846000000000002</v>
      </c>
      <c r="O75">
        <f t="shared" si="3"/>
        <v>3</v>
      </c>
    </row>
    <row r="76" spans="1:15" x14ac:dyDescent="0.3">
      <c r="A76" t="s">
        <v>80</v>
      </c>
      <c r="B76" t="s">
        <v>115</v>
      </c>
      <c r="C76" t="s">
        <v>152</v>
      </c>
      <c r="D76" t="s">
        <v>452</v>
      </c>
      <c r="E76" t="s">
        <v>543</v>
      </c>
      <c r="F76">
        <v>1.75</v>
      </c>
      <c r="G76">
        <v>5.8</v>
      </c>
      <c r="H76">
        <v>3.75</v>
      </c>
      <c r="I76">
        <v>2.08</v>
      </c>
      <c r="J76" t="s">
        <v>670</v>
      </c>
      <c r="K76">
        <v>3</v>
      </c>
      <c r="L76">
        <v>3</v>
      </c>
      <c r="M76">
        <v>1</v>
      </c>
      <c r="N76">
        <f t="shared" si="2"/>
        <v>1.0098</v>
      </c>
      <c r="O76">
        <f t="shared" si="3"/>
        <v>6</v>
      </c>
    </row>
    <row r="77" spans="1:15" x14ac:dyDescent="0.3">
      <c r="A77" t="s">
        <v>80</v>
      </c>
      <c r="B77" t="s">
        <v>115</v>
      </c>
      <c r="C77" t="s">
        <v>161</v>
      </c>
      <c r="D77" t="s">
        <v>453</v>
      </c>
      <c r="E77" t="s">
        <v>646</v>
      </c>
      <c r="F77">
        <v>1.68</v>
      </c>
      <c r="G77">
        <v>5.5</v>
      </c>
      <c r="H77">
        <v>4</v>
      </c>
      <c r="I77">
        <v>2.06</v>
      </c>
      <c r="J77" t="s">
        <v>670</v>
      </c>
      <c r="K77">
        <v>1</v>
      </c>
      <c r="L77">
        <v>1</v>
      </c>
      <c r="M77">
        <v>0</v>
      </c>
      <c r="N77">
        <f t="shared" si="2"/>
        <v>-1</v>
      </c>
      <c r="O77">
        <f t="shared" si="3"/>
        <v>2</v>
      </c>
    </row>
    <row r="78" spans="1:15" x14ac:dyDescent="0.3">
      <c r="A78" t="s">
        <v>81</v>
      </c>
      <c r="B78" t="s">
        <v>104</v>
      </c>
      <c r="C78" t="s">
        <v>153</v>
      </c>
      <c r="D78" t="s">
        <v>454</v>
      </c>
      <c r="E78" t="s">
        <v>647</v>
      </c>
      <c r="F78">
        <v>1.79</v>
      </c>
      <c r="G78">
        <v>5.2</v>
      </c>
      <c r="H78">
        <v>3.75</v>
      </c>
      <c r="I78">
        <v>2.16</v>
      </c>
      <c r="J78" t="s">
        <v>670</v>
      </c>
      <c r="K78">
        <v>2</v>
      </c>
      <c r="L78">
        <v>2</v>
      </c>
      <c r="M78">
        <v>1</v>
      </c>
      <c r="N78">
        <f t="shared" si="2"/>
        <v>1.0846000000000002</v>
      </c>
      <c r="O78">
        <f t="shared" si="3"/>
        <v>4</v>
      </c>
    </row>
    <row r="79" spans="1:15" x14ac:dyDescent="0.3">
      <c r="A79" t="s">
        <v>81</v>
      </c>
      <c r="B79" t="s">
        <v>93</v>
      </c>
      <c r="C79" t="s">
        <v>152</v>
      </c>
      <c r="D79" t="s">
        <v>455</v>
      </c>
      <c r="E79" t="s">
        <v>512</v>
      </c>
      <c r="F79">
        <v>1.97</v>
      </c>
      <c r="G79">
        <v>4.5999999999999996</v>
      </c>
      <c r="H79">
        <v>3.4</v>
      </c>
      <c r="I79">
        <v>2.2799999999999998</v>
      </c>
      <c r="J79" t="s">
        <v>670</v>
      </c>
      <c r="K79">
        <v>0</v>
      </c>
      <c r="L79">
        <v>0</v>
      </c>
      <c r="M79">
        <v>0</v>
      </c>
      <c r="N79">
        <f t="shared" si="2"/>
        <v>-1</v>
      </c>
      <c r="O79">
        <f t="shared" si="3"/>
        <v>0</v>
      </c>
    </row>
    <row r="80" spans="1:15" x14ac:dyDescent="0.3">
      <c r="A80" t="s">
        <v>81</v>
      </c>
      <c r="B80" t="s">
        <v>108</v>
      </c>
      <c r="C80" t="s">
        <v>145</v>
      </c>
      <c r="D80" t="s">
        <v>456</v>
      </c>
      <c r="E80" t="s">
        <v>236</v>
      </c>
      <c r="F80">
        <v>2.02</v>
      </c>
      <c r="G80">
        <v>4.4000000000000004</v>
      </c>
      <c r="H80">
        <v>3.15</v>
      </c>
      <c r="I80">
        <v>2.52</v>
      </c>
      <c r="J80" t="s">
        <v>670</v>
      </c>
      <c r="K80">
        <v>1</v>
      </c>
      <c r="L80">
        <v>0</v>
      </c>
      <c r="M80">
        <v>0</v>
      </c>
      <c r="N80">
        <f t="shared" si="2"/>
        <v>-1</v>
      </c>
      <c r="O80">
        <f t="shared" si="3"/>
        <v>1</v>
      </c>
    </row>
    <row r="81" spans="1:15" x14ac:dyDescent="0.3">
      <c r="A81" t="s">
        <v>81</v>
      </c>
      <c r="B81" t="s">
        <v>109</v>
      </c>
      <c r="C81" t="s">
        <v>161</v>
      </c>
      <c r="D81" t="s">
        <v>258</v>
      </c>
      <c r="E81" t="s">
        <v>648</v>
      </c>
      <c r="F81">
        <v>1.91</v>
      </c>
      <c r="G81">
        <v>5.0999999999999996</v>
      </c>
      <c r="H81">
        <v>3.4</v>
      </c>
      <c r="I81">
        <v>2.36</v>
      </c>
      <c r="J81" t="s">
        <v>670</v>
      </c>
      <c r="K81">
        <v>1</v>
      </c>
      <c r="L81">
        <v>3</v>
      </c>
      <c r="M81">
        <v>1</v>
      </c>
      <c r="N81">
        <f t="shared" si="2"/>
        <v>1.2716000000000001</v>
      </c>
      <c r="O81">
        <f t="shared" si="3"/>
        <v>4</v>
      </c>
    </row>
    <row r="82" spans="1:15" x14ac:dyDescent="0.3">
      <c r="A82" t="s">
        <v>81</v>
      </c>
      <c r="B82" t="s">
        <v>102</v>
      </c>
      <c r="C82" t="s">
        <v>179</v>
      </c>
      <c r="D82" t="s">
        <v>457</v>
      </c>
      <c r="E82" t="s">
        <v>649</v>
      </c>
      <c r="F82">
        <v>2.42</v>
      </c>
      <c r="G82">
        <v>3.4</v>
      </c>
      <c r="H82">
        <v>2.96</v>
      </c>
      <c r="I82">
        <v>2.78</v>
      </c>
      <c r="J82" t="s">
        <v>670</v>
      </c>
      <c r="K82">
        <v>0</v>
      </c>
      <c r="L82">
        <v>2</v>
      </c>
      <c r="M82">
        <v>0</v>
      </c>
      <c r="N82">
        <f t="shared" si="2"/>
        <v>-1</v>
      </c>
      <c r="O82">
        <f t="shared" si="3"/>
        <v>2</v>
      </c>
    </row>
    <row r="83" spans="1:15" x14ac:dyDescent="0.3">
      <c r="A83" t="s">
        <v>81</v>
      </c>
      <c r="B83" t="s">
        <v>98</v>
      </c>
      <c r="C83" t="s">
        <v>226</v>
      </c>
      <c r="D83" t="s">
        <v>458</v>
      </c>
      <c r="E83" t="s">
        <v>650</v>
      </c>
      <c r="F83">
        <v>2.2599999999999998</v>
      </c>
      <c r="G83">
        <v>3.7</v>
      </c>
      <c r="H83">
        <v>3.05</v>
      </c>
      <c r="I83">
        <v>2.62</v>
      </c>
      <c r="J83" t="s">
        <v>670</v>
      </c>
      <c r="K83">
        <v>1</v>
      </c>
      <c r="L83">
        <v>0</v>
      </c>
      <c r="M83">
        <v>0</v>
      </c>
      <c r="N83">
        <f t="shared" si="2"/>
        <v>-1</v>
      </c>
      <c r="O83">
        <f t="shared" si="3"/>
        <v>1</v>
      </c>
    </row>
    <row r="84" spans="1:15" x14ac:dyDescent="0.3">
      <c r="A84" t="s">
        <v>81</v>
      </c>
      <c r="B84" t="s">
        <v>129</v>
      </c>
      <c r="C84" t="s">
        <v>227</v>
      </c>
      <c r="D84" t="s">
        <v>459</v>
      </c>
      <c r="E84" t="s">
        <v>651</v>
      </c>
      <c r="F84">
        <v>1.73</v>
      </c>
      <c r="G84">
        <v>4.8</v>
      </c>
      <c r="H84">
        <v>3.2</v>
      </c>
      <c r="I84">
        <v>2.12</v>
      </c>
      <c r="J84" t="s">
        <v>670</v>
      </c>
      <c r="K84">
        <v>2</v>
      </c>
      <c r="L84">
        <v>1</v>
      </c>
      <c r="M84">
        <v>1</v>
      </c>
      <c r="N84">
        <f t="shared" si="2"/>
        <v>1.0472000000000001</v>
      </c>
      <c r="O84">
        <f t="shared" si="3"/>
        <v>3</v>
      </c>
    </row>
    <row r="85" spans="1:15" x14ac:dyDescent="0.3">
      <c r="A85" t="s">
        <v>82</v>
      </c>
      <c r="B85" t="s">
        <v>118</v>
      </c>
      <c r="C85" t="s">
        <v>159</v>
      </c>
      <c r="D85" t="s">
        <v>460</v>
      </c>
      <c r="E85" t="s">
        <v>652</v>
      </c>
      <c r="F85">
        <v>2</v>
      </c>
      <c r="G85">
        <v>4.7</v>
      </c>
      <c r="H85">
        <v>3.25</v>
      </c>
      <c r="I85">
        <v>2.46</v>
      </c>
      <c r="J85" t="s">
        <v>670</v>
      </c>
      <c r="K85">
        <v>1</v>
      </c>
      <c r="L85">
        <v>2</v>
      </c>
      <c r="M85">
        <v>1</v>
      </c>
      <c r="N85">
        <f t="shared" si="2"/>
        <v>1.3651</v>
      </c>
      <c r="O85">
        <f t="shared" si="3"/>
        <v>3</v>
      </c>
    </row>
    <row r="86" spans="1:15" x14ac:dyDescent="0.3">
      <c r="A86" t="s">
        <v>82</v>
      </c>
      <c r="B86" t="s">
        <v>119</v>
      </c>
      <c r="C86" t="s">
        <v>162</v>
      </c>
      <c r="D86" t="s">
        <v>461</v>
      </c>
      <c r="E86" t="s">
        <v>653</v>
      </c>
      <c r="F86">
        <v>1.72</v>
      </c>
      <c r="G86">
        <v>5.5</v>
      </c>
      <c r="H86">
        <v>3.9</v>
      </c>
      <c r="I86">
        <v>2.14</v>
      </c>
      <c r="J86" t="s">
        <v>670</v>
      </c>
      <c r="K86">
        <v>0</v>
      </c>
      <c r="L86">
        <v>1</v>
      </c>
      <c r="M86">
        <v>0</v>
      </c>
      <c r="N86">
        <f t="shared" si="2"/>
        <v>-1</v>
      </c>
      <c r="O86">
        <f t="shared" si="3"/>
        <v>1</v>
      </c>
    </row>
    <row r="87" spans="1:15" x14ac:dyDescent="0.3">
      <c r="A87" t="s">
        <v>82</v>
      </c>
      <c r="B87" t="s">
        <v>115</v>
      </c>
      <c r="C87" t="s">
        <v>214</v>
      </c>
      <c r="D87" t="s">
        <v>436</v>
      </c>
      <c r="E87" t="s">
        <v>654</v>
      </c>
      <c r="F87">
        <v>1.69</v>
      </c>
      <c r="G87">
        <v>5.7</v>
      </c>
      <c r="H87">
        <v>3.65</v>
      </c>
      <c r="I87">
        <v>2.08</v>
      </c>
      <c r="J87" t="s">
        <v>670</v>
      </c>
      <c r="K87">
        <v>0</v>
      </c>
      <c r="L87">
        <v>0</v>
      </c>
      <c r="M87">
        <v>0</v>
      </c>
      <c r="N87">
        <f t="shared" si="2"/>
        <v>-1</v>
      </c>
      <c r="O87">
        <f t="shared" si="3"/>
        <v>0</v>
      </c>
    </row>
    <row r="88" spans="1:15" x14ac:dyDescent="0.3">
      <c r="A88" t="s">
        <v>82</v>
      </c>
      <c r="B88" t="s">
        <v>89</v>
      </c>
      <c r="C88" t="s">
        <v>159</v>
      </c>
      <c r="D88" t="s">
        <v>462</v>
      </c>
      <c r="E88" t="s">
        <v>655</v>
      </c>
      <c r="F88">
        <v>1.83</v>
      </c>
      <c r="G88">
        <v>5.0999999999999996</v>
      </c>
      <c r="H88">
        <v>3.45</v>
      </c>
      <c r="I88">
        <v>2.2200000000000002</v>
      </c>
      <c r="J88" t="s">
        <v>670</v>
      </c>
      <c r="K88">
        <v>3</v>
      </c>
      <c r="L88">
        <v>2</v>
      </c>
      <c r="M88">
        <v>1</v>
      </c>
      <c r="N88">
        <f t="shared" si="2"/>
        <v>1.1407000000000003</v>
      </c>
      <c r="O88">
        <f t="shared" si="3"/>
        <v>5</v>
      </c>
    </row>
    <row r="89" spans="1:15" x14ac:dyDescent="0.3">
      <c r="A89" t="s">
        <v>82</v>
      </c>
      <c r="B89" t="s">
        <v>138</v>
      </c>
      <c r="C89" t="s">
        <v>143</v>
      </c>
      <c r="D89" t="s">
        <v>430</v>
      </c>
      <c r="E89" t="s">
        <v>481</v>
      </c>
      <c r="F89">
        <v>1.83</v>
      </c>
      <c r="G89">
        <v>5.0999999999999996</v>
      </c>
      <c r="H89">
        <v>3.35</v>
      </c>
      <c r="I89">
        <v>2.2999999999999998</v>
      </c>
      <c r="J89" t="s">
        <v>670</v>
      </c>
      <c r="K89">
        <v>3</v>
      </c>
      <c r="L89">
        <v>0</v>
      </c>
      <c r="M89">
        <v>1</v>
      </c>
      <c r="N89">
        <f t="shared" si="2"/>
        <v>1.2154999999999998</v>
      </c>
      <c r="O89">
        <f t="shared" si="3"/>
        <v>3</v>
      </c>
    </row>
    <row r="90" spans="1:15" x14ac:dyDescent="0.3">
      <c r="A90" t="s">
        <v>83</v>
      </c>
      <c r="B90" t="s">
        <v>98</v>
      </c>
      <c r="C90" t="s">
        <v>153</v>
      </c>
      <c r="D90" t="s">
        <v>389</v>
      </c>
      <c r="E90" t="s">
        <v>331</v>
      </c>
      <c r="F90">
        <v>2.2999999999999998</v>
      </c>
      <c r="G90">
        <v>4</v>
      </c>
      <c r="H90">
        <v>3.05</v>
      </c>
      <c r="I90">
        <v>2.72</v>
      </c>
      <c r="J90" t="s">
        <v>670</v>
      </c>
      <c r="K90">
        <v>0</v>
      </c>
      <c r="L90">
        <v>2</v>
      </c>
      <c r="M90">
        <v>0</v>
      </c>
      <c r="N90">
        <f t="shared" si="2"/>
        <v>-1</v>
      </c>
      <c r="O90">
        <f t="shared" si="3"/>
        <v>2</v>
      </c>
    </row>
    <row r="91" spans="1:15" x14ac:dyDescent="0.3">
      <c r="A91" t="s">
        <v>83</v>
      </c>
      <c r="B91" t="s">
        <v>92</v>
      </c>
      <c r="C91" t="s">
        <v>154</v>
      </c>
      <c r="D91" t="s">
        <v>463</v>
      </c>
      <c r="E91" t="s">
        <v>396</v>
      </c>
      <c r="F91">
        <v>1.81</v>
      </c>
      <c r="G91">
        <v>5.0999999999999996</v>
      </c>
      <c r="H91">
        <v>3.85</v>
      </c>
      <c r="I91">
        <v>2.08</v>
      </c>
      <c r="J91" t="s">
        <v>670</v>
      </c>
      <c r="K91">
        <v>3</v>
      </c>
      <c r="L91">
        <v>0</v>
      </c>
      <c r="M91">
        <v>1</v>
      </c>
      <c r="N91">
        <f t="shared" si="2"/>
        <v>1.0098</v>
      </c>
      <c r="O91">
        <f t="shared" si="3"/>
        <v>3</v>
      </c>
    </row>
    <row r="92" spans="1:15" x14ac:dyDescent="0.3">
      <c r="A92" t="s">
        <v>83</v>
      </c>
      <c r="B92" t="s">
        <v>92</v>
      </c>
      <c r="C92" t="s">
        <v>154</v>
      </c>
      <c r="D92" t="s">
        <v>464</v>
      </c>
      <c r="E92" t="s">
        <v>656</v>
      </c>
      <c r="F92">
        <v>2.2400000000000002</v>
      </c>
      <c r="G92">
        <v>3.85</v>
      </c>
      <c r="H92">
        <v>3.3</v>
      </c>
      <c r="I92">
        <v>2.56</v>
      </c>
      <c r="J92" t="s">
        <v>670</v>
      </c>
      <c r="K92">
        <v>1</v>
      </c>
      <c r="L92">
        <v>2</v>
      </c>
      <c r="M92">
        <v>1</v>
      </c>
      <c r="N92">
        <f t="shared" si="2"/>
        <v>1.4586000000000001</v>
      </c>
      <c r="O92">
        <f t="shared" si="3"/>
        <v>3</v>
      </c>
    </row>
    <row r="93" spans="1:15" x14ac:dyDescent="0.3">
      <c r="A93" t="s">
        <v>83</v>
      </c>
      <c r="B93" t="s">
        <v>92</v>
      </c>
      <c r="C93" t="s">
        <v>228</v>
      </c>
      <c r="D93" t="s">
        <v>465</v>
      </c>
      <c r="E93" t="s">
        <v>657</v>
      </c>
      <c r="F93">
        <v>1.87</v>
      </c>
      <c r="G93">
        <v>4.5</v>
      </c>
      <c r="H93">
        <v>3.35</v>
      </c>
      <c r="I93">
        <v>2.2599999999999998</v>
      </c>
      <c r="J93" t="s">
        <v>670</v>
      </c>
      <c r="K93">
        <v>2</v>
      </c>
      <c r="L93">
        <v>1</v>
      </c>
      <c r="M93">
        <v>1</v>
      </c>
      <c r="N93">
        <f t="shared" si="2"/>
        <v>1.1780999999999999</v>
      </c>
      <c r="O93">
        <f t="shared" si="3"/>
        <v>3</v>
      </c>
    </row>
    <row r="94" spans="1:15" x14ac:dyDescent="0.3">
      <c r="A94" t="s">
        <v>84</v>
      </c>
      <c r="B94" t="s">
        <v>92</v>
      </c>
      <c r="C94" t="s">
        <v>154</v>
      </c>
      <c r="D94" t="s">
        <v>352</v>
      </c>
      <c r="E94" t="s">
        <v>604</v>
      </c>
      <c r="F94">
        <v>1.72</v>
      </c>
      <c r="G94">
        <v>5.9</v>
      </c>
      <c r="H94">
        <v>3.95</v>
      </c>
      <c r="I94">
        <v>2.1</v>
      </c>
      <c r="J94" t="s">
        <v>670</v>
      </c>
      <c r="K94">
        <v>1</v>
      </c>
      <c r="L94">
        <v>0</v>
      </c>
      <c r="M94">
        <v>0</v>
      </c>
      <c r="N94">
        <f t="shared" si="2"/>
        <v>-1</v>
      </c>
      <c r="O94">
        <f t="shared" si="3"/>
        <v>1</v>
      </c>
    </row>
    <row r="95" spans="1:15" x14ac:dyDescent="0.3">
      <c r="A95" t="s">
        <v>85</v>
      </c>
      <c r="B95" t="s">
        <v>100</v>
      </c>
      <c r="C95" t="s">
        <v>229</v>
      </c>
      <c r="D95" t="s">
        <v>466</v>
      </c>
      <c r="E95" t="s">
        <v>658</v>
      </c>
      <c r="F95">
        <v>1.82</v>
      </c>
      <c r="G95">
        <v>4.9000000000000004</v>
      </c>
      <c r="H95">
        <v>3.45</v>
      </c>
      <c r="I95">
        <v>2.2200000000000002</v>
      </c>
      <c r="J95" t="s">
        <v>670</v>
      </c>
      <c r="K95">
        <v>0</v>
      </c>
      <c r="L95">
        <v>0</v>
      </c>
      <c r="M95">
        <v>0</v>
      </c>
      <c r="N95">
        <f t="shared" si="2"/>
        <v>-1</v>
      </c>
      <c r="O95">
        <f t="shared" si="3"/>
        <v>0</v>
      </c>
    </row>
    <row r="96" spans="1:15" x14ac:dyDescent="0.3">
      <c r="A96" t="s">
        <v>85</v>
      </c>
      <c r="B96" t="s">
        <v>139</v>
      </c>
      <c r="C96" t="s">
        <v>229</v>
      </c>
      <c r="D96" t="s">
        <v>467</v>
      </c>
      <c r="E96" t="s">
        <v>659</v>
      </c>
      <c r="F96">
        <v>2.06</v>
      </c>
      <c r="G96">
        <v>4.4000000000000004</v>
      </c>
      <c r="H96">
        <v>3.2</v>
      </c>
      <c r="I96">
        <v>2.38</v>
      </c>
      <c r="J96" t="s">
        <v>670</v>
      </c>
      <c r="K96">
        <v>0</v>
      </c>
      <c r="L96">
        <v>0</v>
      </c>
      <c r="M96">
        <v>0</v>
      </c>
      <c r="N96">
        <f t="shared" si="2"/>
        <v>-1</v>
      </c>
      <c r="O96">
        <f t="shared" si="3"/>
        <v>0</v>
      </c>
    </row>
    <row r="97" spans="1:15" x14ac:dyDescent="0.3">
      <c r="A97" t="s">
        <v>86</v>
      </c>
      <c r="B97" t="s">
        <v>92</v>
      </c>
      <c r="C97" t="s">
        <v>163</v>
      </c>
      <c r="D97" t="s">
        <v>292</v>
      </c>
      <c r="E97" t="s">
        <v>660</v>
      </c>
      <c r="F97">
        <v>1.68</v>
      </c>
      <c r="G97">
        <v>6.2</v>
      </c>
      <c r="H97">
        <v>4</v>
      </c>
      <c r="I97">
        <v>2.02</v>
      </c>
      <c r="J97" t="s">
        <v>670</v>
      </c>
      <c r="K97">
        <v>2</v>
      </c>
      <c r="L97">
        <v>0</v>
      </c>
      <c r="M97">
        <v>0</v>
      </c>
      <c r="N97">
        <f t="shared" si="2"/>
        <v>-1</v>
      </c>
      <c r="O97">
        <f t="shared" si="3"/>
        <v>2</v>
      </c>
    </row>
    <row r="98" spans="1:15" x14ac:dyDescent="0.3">
      <c r="A98" t="s">
        <v>87</v>
      </c>
      <c r="B98" t="s">
        <v>136</v>
      </c>
      <c r="C98" t="s">
        <v>230</v>
      </c>
      <c r="D98" t="s">
        <v>468</v>
      </c>
      <c r="E98" t="s">
        <v>661</v>
      </c>
      <c r="F98">
        <v>1.58</v>
      </c>
      <c r="G98">
        <v>6.4</v>
      </c>
      <c r="H98">
        <v>4</v>
      </c>
      <c r="I98">
        <v>1.95</v>
      </c>
      <c r="J98" t="s">
        <v>670</v>
      </c>
      <c r="K98">
        <v>4</v>
      </c>
      <c r="L98">
        <v>0</v>
      </c>
      <c r="M98">
        <v>1</v>
      </c>
      <c r="N98">
        <f t="shared" si="2"/>
        <v>0.88824999999999998</v>
      </c>
      <c r="O98">
        <f t="shared" si="3"/>
        <v>4</v>
      </c>
    </row>
    <row r="99" spans="1:15" x14ac:dyDescent="0.3">
      <c r="A99" t="s">
        <v>87</v>
      </c>
      <c r="B99" t="s">
        <v>116</v>
      </c>
      <c r="C99" t="s">
        <v>202</v>
      </c>
      <c r="D99" t="s">
        <v>469</v>
      </c>
      <c r="E99" t="s">
        <v>662</v>
      </c>
      <c r="F99">
        <v>1.65</v>
      </c>
      <c r="G99">
        <v>5.6</v>
      </c>
      <c r="H99">
        <v>4</v>
      </c>
      <c r="I99">
        <v>2.02</v>
      </c>
      <c r="J99" t="s">
        <v>670</v>
      </c>
      <c r="K99">
        <v>2</v>
      </c>
      <c r="L99">
        <v>0</v>
      </c>
      <c r="M99">
        <v>0</v>
      </c>
      <c r="N99">
        <f t="shared" si="2"/>
        <v>-1</v>
      </c>
      <c r="O99">
        <f t="shared" si="3"/>
        <v>2</v>
      </c>
    </row>
    <row r="100" spans="1:15" x14ac:dyDescent="0.3">
      <c r="A100" t="s">
        <v>87</v>
      </c>
      <c r="B100" t="s">
        <v>96</v>
      </c>
      <c r="C100" t="s">
        <v>149</v>
      </c>
      <c r="D100" t="s">
        <v>470</v>
      </c>
      <c r="E100" t="s">
        <v>297</v>
      </c>
      <c r="F100">
        <v>1.92</v>
      </c>
      <c r="G100">
        <v>4.5</v>
      </c>
      <c r="H100">
        <v>3.15</v>
      </c>
      <c r="I100">
        <v>2.36</v>
      </c>
      <c r="J100" t="s">
        <v>670</v>
      </c>
      <c r="K100">
        <v>3</v>
      </c>
      <c r="L100">
        <v>1</v>
      </c>
      <c r="M100">
        <v>1</v>
      </c>
      <c r="N100">
        <f t="shared" si="2"/>
        <v>1.2716000000000001</v>
      </c>
      <c r="O100">
        <f t="shared" si="3"/>
        <v>4</v>
      </c>
    </row>
    <row r="101" spans="1:15" x14ac:dyDescent="0.3">
      <c r="A101" t="s">
        <v>87</v>
      </c>
      <c r="B101" t="s">
        <v>140</v>
      </c>
      <c r="C101" t="s">
        <v>231</v>
      </c>
      <c r="D101" t="s">
        <v>471</v>
      </c>
      <c r="E101" t="s">
        <v>663</v>
      </c>
      <c r="F101">
        <v>1.71</v>
      </c>
      <c r="G101">
        <v>5.8</v>
      </c>
      <c r="H101">
        <v>4</v>
      </c>
      <c r="I101">
        <v>2.06</v>
      </c>
      <c r="J101" t="s">
        <v>670</v>
      </c>
      <c r="K101">
        <v>1</v>
      </c>
      <c r="L101">
        <v>2</v>
      </c>
      <c r="M101">
        <v>1</v>
      </c>
      <c r="N101">
        <f t="shared" si="2"/>
        <v>0.99110000000000009</v>
      </c>
      <c r="O101">
        <f t="shared" si="3"/>
        <v>3</v>
      </c>
    </row>
    <row r="102" spans="1:15" x14ac:dyDescent="0.3">
      <c r="A102" t="s">
        <v>87</v>
      </c>
      <c r="B102" t="s">
        <v>108</v>
      </c>
      <c r="C102" t="s">
        <v>174</v>
      </c>
      <c r="D102" t="s">
        <v>472</v>
      </c>
      <c r="E102" t="s">
        <v>664</v>
      </c>
      <c r="F102">
        <v>1.55</v>
      </c>
      <c r="G102">
        <v>7</v>
      </c>
      <c r="H102">
        <v>4.4000000000000004</v>
      </c>
      <c r="I102">
        <v>1.95</v>
      </c>
      <c r="J102" t="s">
        <v>670</v>
      </c>
      <c r="K102">
        <v>2</v>
      </c>
      <c r="L102">
        <v>0</v>
      </c>
      <c r="M102">
        <v>0</v>
      </c>
      <c r="N102">
        <f t="shared" si="2"/>
        <v>-1</v>
      </c>
      <c r="O102">
        <f t="shared" si="3"/>
        <v>2</v>
      </c>
    </row>
    <row r="103" spans="1:15" x14ac:dyDescent="0.3">
      <c r="A103" t="s">
        <v>87</v>
      </c>
      <c r="B103" t="s">
        <v>108</v>
      </c>
      <c r="C103" t="s">
        <v>165</v>
      </c>
      <c r="D103" t="s">
        <v>473</v>
      </c>
      <c r="E103" t="s">
        <v>264</v>
      </c>
      <c r="F103">
        <v>2.36</v>
      </c>
      <c r="G103">
        <v>3.75</v>
      </c>
      <c r="H103">
        <v>3.1</v>
      </c>
      <c r="I103">
        <v>2.96</v>
      </c>
      <c r="J103" t="s">
        <v>670</v>
      </c>
      <c r="K103">
        <v>0</v>
      </c>
      <c r="L103">
        <v>0</v>
      </c>
      <c r="M103">
        <v>0</v>
      </c>
      <c r="N103">
        <f t="shared" si="2"/>
        <v>-1</v>
      </c>
      <c r="O103">
        <f t="shared" si="3"/>
        <v>0</v>
      </c>
    </row>
    <row r="104" spans="1:15" x14ac:dyDescent="0.3">
      <c r="A104" t="s">
        <v>87</v>
      </c>
      <c r="B104" t="s">
        <v>108</v>
      </c>
      <c r="C104" t="s">
        <v>154</v>
      </c>
      <c r="D104" t="s">
        <v>390</v>
      </c>
      <c r="E104" t="s">
        <v>464</v>
      </c>
      <c r="F104">
        <v>1.83</v>
      </c>
      <c r="G104">
        <v>5.2</v>
      </c>
      <c r="H104">
        <v>3.7</v>
      </c>
      <c r="I104">
        <v>2.2000000000000002</v>
      </c>
      <c r="J104" t="s">
        <v>670</v>
      </c>
      <c r="K104">
        <v>3</v>
      </c>
      <c r="L104">
        <v>2</v>
      </c>
      <c r="M104">
        <v>1</v>
      </c>
      <c r="N104">
        <f t="shared" si="2"/>
        <v>1.1220000000000003</v>
      </c>
      <c r="O104">
        <f t="shared" si="3"/>
        <v>5</v>
      </c>
    </row>
    <row r="105" spans="1:15" x14ac:dyDescent="0.3">
      <c r="A105" t="s">
        <v>87</v>
      </c>
      <c r="B105" t="s">
        <v>108</v>
      </c>
      <c r="C105" t="s">
        <v>154</v>
      </c>
      <c r="D105" t="s">
        <v>474</v>
      </c>
      <c r="E105" t="s">
        <v>656</v>
      </c>
      <c r="F105">
        <v>1.85</v>
      </c>
      <c r="G105">
        <v>4.9000000000000004</v>
      </c>
      <c r="H105">
        <v>3.7</v>
      </c>
      <c r="I105">
        <v>2.1800000000000002</v>
      </c>
      <c r="J105" t="s">
        <v>670</v>
      </c>
      <c r="K105">
        <v>2</v>
      </c>
      <c r="L105">
        <v>1</v>
      </c>
      <c r="M105">
        <v>1</v>
      </c>
      <c r="N105">
        <f t="shared" si="2"/>
        <v>1.1033000000000002</v>
      </c>
      <c r="O105">
        <f t="shared" si="3"/>
        <v>3</v>
      </c>
    </row>
    <row r="106" spans="1:15" x14ac:dyDescent="0.3">
      <c r="A106" t="s">
        <v>87</v>
      </c>
      <c r="B106" t="s">
        <v>97</v>
      </c>
      <c r="C106" t="s">
        <v>151</v>
      </c>
      <c r="D106" t="s">
        <v>417</v>
      </c>
      <c r="E106" t="s">
        <v>665</v>
      </c>
      <c r="F106">
        <v>1.77</v>
      </c>
      <c r="G106">
        <v>5.2</v>
      </c>
      <c r="H106">
        <v>3.85</v>
      </c>
      <c r="I106">
        <v>2.12</v>
      </c>
      <c r="J106" t="s">
        <v>670</v>
      </c>
      <c r="K106">
        <v>0</v>
      </c>
      <c r="L106">
        <v>0</v>
      </c>
      <c r="M106">
        <v>0</v>
      </c>
      <c r="N106">
        <f t="shared" si="2"/>
        <v>-1</v>
      </c>
      <c r="O106">
        <f t="shared" si="3"/>
        <v>0</v>
      </c>
    </row>
    <row r="107" spans="1:15" x14ac:dyDescent="0.3">
      <c r="A107" t="s">
        <v>87</v>
      </c>
      <c r="B107" t="s">
        <v>102</v>
      </c>
      <c r="C107" t="s">
        <v>164</v>
      </c>
      <c r="D107" t="s">
        <v>475</v>
      </c>
      <c r="E107" t="s">
        <v>666</v>
      </c>
      <c r="F107">
        <v>2.2200000000000002</v>
      </c>
      <c r="G107">
        <v>3.6</v>
      </c>
      <c r="H107">
        <v>3.2</v>
      </c>
      <c r="I107">
        <v>2.62</v>
      </c>
      <c r="J107" t="s">
        <v>670</v>
      </c>
      <c r="K107">
        <v>1</v>
      </c>
      <c r="L107">
        <v>0</v>
      </c>
      <c r="M107">
        <v>0</v>
      </c>
      <c r="N107">
        <f t="shared" si="2"/>
        <v>-1</v>
      </c>
      <c r="O107">
        <f t="shared" si="3"/>
        <v>1</v>
      </c>
    </row>
    <row r="108" spans="1:15" x14ac:dyDescent="0.3">
      <c r="A108" t="s">
        <v>87</v>
      </c>
      <c r="B108" t="s">
        <v>102</v>
      </c>
      <c r="C108" t="s">
        <v>186</v>
      </c>
      <c r="D108" t="s">
        <v>476</v>
      </c>
      <c r="E108" t="s">
        <v>667</v>
      </c>
      <c r="F108">
        <v>1.66</v>
      </c>
      <c r="G108">
        <v>5.9</v>
      </c>
      <c r="H108">
        <v>3.9</v>
      </c>
      <c r="I108">
        <v>2.04</v>
      </c>
      <c r="J108" t="s">
        <v>670</v>
      </c>
      <c r="K108">
        <v>3</v>
      </c>
      <c r="L108">
        <v>0</v>
      </c>
      <c r="M108">
        <v>1</v>
      </c>
      <c r="N108">
        <f t="shared" si="2"/>
        <v>0.97240000000000004</v>
      </c>
      <c r="O108">
        <f t="shared" si="3"/>
        <v>3</v>
      </c>
    </row>
    <row r="109" spans="1:15" x14ac:dyDescent="0.3">
      <c r="A109" t="s">
        <v>87</v>
      </c>
      <c r="B109" t="s">
        <v>92</v>
      </c>
      <c r="C109" t="s">
        <v>170</v>
      </c>
      <c r="D109" t="s">
        <v>339</v>
      </c>
      <c r="E109" t="s">
        <v>668</v>
      </c>
      <c r="F109">
        <v>1.9</v>
      </c>
      <c r="G109">
        <v>5.3</v>
      </c>
      <c r="H109">
        <v>3.45</v>
      </c>
      <c r="I109">
        <v>2.2200000000000002</v>
      </c>
      <c r="J109" t="s">
        <v>670</v>
      </c>
      <c r="K109">
        <v>0</v>
      </c>
      <c r="L109">
        <v>0</v>
      </c>
      <c r="M109">
        <v>0</v>
      </c>
      <c r="N109">
        <f t="shared" si="2"/>
        <v>-1</v>
      </c>
      <c r="O109">
        <f t="shared" si="3"/>
        <v>0</v>
      </c>
    </row>
    <row r="110" spans="1:15" x14ac:dyDescent="0.3">
      <c r="A110" t="s">
        <v>87</v>
      </c>
      <c r="B110" t="s">
        <v>92</v>
      </c>
      <c r="C110" t="s">
        <v>163</v>
      </c>
      <c r="D110" t="s">
        <v>477</v>
      </c>
      <c r="E110" t="s">
        <v>268</v>
      </c>
      <c r="F110">
        <v>1.74</v>
      </c>
      <c r="G110">
        <v>5.9</v>
      </c>
      <c r="H110">
        <v>3.85</v>
      </c>
      <c r="I110">
        <v>2.1800000000000002</v>
      </c>
      <c r="J110" t="s">
        <v>670</v>
      </c>
      <c r="K110">
        <v>1</v>
      </c>
      <c r="L110">
        <v>0</v>
      </c>
      <c r="M110">
        <v>0</v>
      </c>
      <c r="N110">
        <f t="shared" si="2"/>
        <v>-1</v>
      </c>
      <c r="O110">
        <f t="shared" si="3"/>
        <v>1</v>
      </c>
    </row>
    <row r="111" spans="1:15" x14ac:dyDescent="0.3">
      <c r="A111" t="s">
        <v>87</v>
      </c>
      <c r="B111" t="s">
        <v>89</v>
      </c>
      <c r="C111" t="s">
        <v>159</v>
      </c>
      <c r="D111" t="s">
        <v>404</v>
      </c>
      <c r="E111" t="s">
        <v>462</v>
      </c>
      <c r="F111">
        <v>1.73</v>
      </c>
      <c r="G111">
        <v>5.8</v>
      </c>
      <c r="H111">
        <v>3.85</v>
      </c>
      <c r="I111">
        <v>2.1</v>
      </c>
      <c r="J111" t="s">
        <v>670</v>
      </c>
      <c r="K111">
        <v>1</v>
      </c>
      <c r="L111">
        <v>1</v>
      </c>
      <c r="M111">
        <v>0</v>
      </c>
      <c r="N111">
        <f t="shared" si="2"/>
        <v>-1</v>
      </c>
      <c r="O111">
        <f t="shared" si="3"/>
        <v>2</v>
      </c>
    </row>
    <row r="112" spans="1:15" x14ac:dyDescent="0.3">
      <c r="A112" t="s">
        <v>88</v>
      </c>
      <c r="B112" t="s">
        <v>133</v>
      </c>
      <c r="C112" t="s">
        <v>232</v>
      </c>
      <c r="D112" t="s">
        <v>478</v>
      </c>
      <c r="E112" t="s">
        <v>669</v>
      </c>
      <c r="F112">
        <v>1.74</v>
      </c>
      <c r="G112">
        <v>5.5</v>
      </c>
      <c r="H112">
        <v>3.75</v>
      </c>
      <c r="I112">
        <v>2.1800000000000002</v>
      </c>
      <c r="J112" t="s">
        <v>670</v>
      </c>
      <c r="K112">
        <v>3</v>
      </c>
      <c r="L112">
        <v>1</v>
      </c>
      <c r="M112">
        <v>1</v>
      </c>
      <c r="N112">
        <f t="shared" si="2"/>
        <v>1.1033000000000002</v>
      </c>
      <c r="O112">
        <f t="shared" si="3"/>
        <v>4</v>
      </c>
    </row>
    <row r="113" spans="1:15" x14ac:dyDescent="0.3">
      <c r="A113" t="s">
        <v>88</v>
      </c>
      <c r="B113" t="s">
        <v>141</v>
      </c>
      <c r="C113" t="s">
        <v>180</v>
      </c>
      <c r="D113" t="s">
        <v>479</v>
      </c>
      <c r="E113" t="s">
        <v>538</v>
      </c>
      <c r="F113">
        <v>1.53</v>
      </c>
      <c r="G113">
        <v>7.2</v>
      </c>
      <c r="H113">
        <v>4.5999999999999996</v>
      </c>
      <c r="I113">
        <v>1.9</v>
      </c>
      <c r="J113" t="s">
        <v>670</v>
      </c>
      <c r="K113">
        <v>1</v>
      </c>
      <c r="L113">
        <v>0</v>
      </c>
      <c r="M113">
        <v>0</v>
      </c>
      <c r="N113">
        <f t="shared" si="2"/>
        <v>-1</v>
      </c>
      <c r="O113">
        <f t="shared" si="3"/>
        <v>1</v>
      </c>
    </row>
    <row r="114" spans="1:15" x14ac:dyDescent="0.3">
      <c r="A114" t="s">
        <v>15</v>
      </c>
      <c r="B114" t="s">
        <v>89</v>
      </c>
      <c r="C114" t="s">
        <v>142</v>
      </c>
      <c r="D114" t="s">
        <v>233</v>
      </c>
      <c r="E114" t="s">
        <v>480</v>
      </c>
      <c r="F114">
        <v>2.6</v>
      </c>
      <c r="G114">
        <v>3.55</v>
      </c>
      <c r="H114">
        <v>2.96</v>
      </c>
      <c r="I114">
        <v>3.25</v>
      </c>
      <c r="J114" t="s">
        <v>670</v>
      </c>
      <c r="K114">
        <v>0</v>
      </c>
      <c r="L114">
        <v>2</v>
      </c>
      <c r="M114">
        <v>0</v>
      </c>
      <c r="N114">
        <f t="shared" si="2"/>
        <v>-1</v>
      </c>
      <c r="O114">
        <f t="shared" si="3"/>
        <v>2</v>
      </c>
    </row>
    <row r="115" spans="1:15" x14ac:dyDescent="0.3">
      <c r="A115" t="s">
        <v>16</v>
      </c>
      <c r="B115" t="s">
        <v>90</v>
      </c>
      <c r="C115" t="s">
        <v>143</v>
      </c>
      <c r="D115" t="s">
        <v>234</v>
      </c>
      <c r="E115" t="s">
        <v>481</v>
      </c>
      <c r="F115">
        <v>1.87</v>
      </c>
      <c r="G115">
        <v>5.0999999999999996</v>
      </c>
      <c r="H115">
        <v>3.6</v>
      </c>
      <c r="I115">
        <v>2.2599999999999998</v>
      </c>
      <c r="J115" t="s">
        <v>670</v>
      </c>
      <c r="K115">
        <v>2</v>
      </c>
      <c r="L115">
        <v>1</v>
      </c>
      <c r="M115">
        <v>1</v>
      </c>
      <c r="N115">
        <f t="shared" si="2"/>
        <v>1.1780999999999999</v>
      </c>
      <c r="O115">
        <f t="shared" si="3"/>
        <v>3</v>
      </c>
    </row>
    <row r="116" spans="1:15" x14ac:dyDescent="0.3">
      <c r="A116" t="s">
        <v>17</v>
      </c>
      <c r="B116" t="s">
        <v>91</v>
      </c>
      <c r="C116" t="s">
        <v>144</v>
      </c>
      <c r="D116" t="s">
        <v>235</v>
      </c>
      <c r="E116" t="s">
        <v>482</v>
      </c>
      <c r="F116">
        <v>1.87</v>
      </c>
      <c r="G116">
        <v>4.7</v>
      </c>
      <c r="H116">
        <v>3.45</v>
      </c>
      <c r="I116">
        <v>2.2599999999999998</v>
      </c>
      <c r="J116" t="s">
        <v>670</v>
      </c>
      <c r="K116">
        <v>4</v>
      </c>
      <c r="L116">
        <v>1</v>
      </c>
      <c r="M116">
        <v>1</v>
      </c>
      <c r="N116">
        <f t="shared" si="2"/>
        <v>1.1780999999999999</v>
      </c>
      <c r="O116">
        <f t="shared" si="3"/>
        <v>5</v>
      </c>
    </row>
    <row r="117" spans="1:15" x14ac:dyDescent="0.3">
      <c r="A117" t="s">
        <v>17</v>
      </c>
      <c r="B117" t="s">
        <v>92</v>
      </c>
      <c r="C117" t="s">
        <v>145</v>
      </c>
      <c r="D117" t="s">
        <v>236</v>
      </c>
      <c r="E117" t="s">
        <v>483</v>
      </c>
      <c r="F117">
        <v>1.83</v>
      </c>
      <c r="G117">
        <v>5.0999999999999996</v>
      </c>
      <c r="H117">
        <v>3.65</v>
      </c>
      <c r="I117">
        <v>2.1800000000000002</v>
      </c>
      <c r="J117" t="s">
        <v>670</v>
      </c>
      <c r="K117">
        <v>2</v>
      </c>
      <c r="L117">
        <v>1</v>
      </c>
      <c r="M117">
        <v>1</v>
      </c>
      <c r="N117">
        <f t="shared" si="2"/>
        <v>1.1033000000000002</v>
      </c>
      <c r="O117">
        <f t="shared" si="3"/>
        <v>3</v>
      </c>
    </row>
    <row r="118" spans="1:15" x14ac:dyDescent="0.3">
      <c r="A118" t="s">
        <v>18</v>
      </c>
      <c r="B118" t="s">
        <v>93</v>
      </c>
      <c r="C118" t="s">
        <v>146</v>
      </c>
      <c r="D118" t="s">
        <v>237</v>
      </c>
      <c r="E118" t="s">
        <v>367</v>
      </c>
      <c r="F118">
        <v>1.78</v>
      </c>
      <c r="G118">
        <v>5.2</v>
      </c>
      <c r="H118">
        <v>3.6</v>
      </c>
      <c r="I118">
        <v>2.08</v>
      </c>
      <c r="J118" t="s">
        <v>670</v>
      </c>
      <c r="K118">
        <v>1</v>
      </c>
      <c r="L118">
        <v>1</v>
      </c>
      <c r="M118">
        <v>0</v>
      </c>
      <c r="N118">
        <f t="shared" si="2"/>
        <v>-1</v>
      </c>
      <c r="O118">
        <f t="shared" si="3"/>
        <v>2</v>
      </c>
    </row>
    <row r="119" spans="1:15" x14ac:dyDescent="0.3">
      <c r="A119" t="s">
        <v>18</v>
      </c>
      <c r="B119" t="s">
        <v>94</v>
      </c>
      <c r="C119" t="s">
        <v>147</v>
      </c>
      <c r="D119" t="s">
        <v>238</v>
      </c>
      <c r="E119" t="s">
        <v>484</v>
      </c>
      <c r="F119">
        <v>1.65</v>
      </c>
      <c r="G119">
        <v>5.7</v>
      </c>
      <c r="H119">
        <v>3.85</v>
      </c>
      <c r="I119">
        <v>2.08</v>
      </c>
      <c r="J119" t="s">
        <v>670</v>
      </c>
      <c r="K119">
        <v>4</v>
      </c>
      <c r="L119">
        <v>0</v>
      </c>
      <c r="M119">
        <v>1</v>
      </c>
      <c r="N119">
        <f t="shared" si="2"/>
        <v>1.0098</v>
      </c>
      <c r="O119">
        <f t="shared" si="3"/>
        <v>4</v>
      </c>
    </row>
    <row r="120" spans="1:15" x14ac:dyDescent="0.3">
      <c r="A120" t="s">
        <v>19</v>
      </c>
      <c r="B120" t="s">
        <v>95</v>
      </c>
      <c r="C120" t="s">
        <v>148</v>
      </c>
      <c r="D120" t="s">
        <v>239</v>
      </c>
      <c r="E120" t="s">
        <v>485</v>
      </c>
      <c r="F120">
        <v>1.67</v>
      </c>
      <c r="G120">
        <v>4.7</v>
      </c>
      <c r="H120">
        <v>3.4</v>
      </c>
      <c r="I120">
        <v>2.08</v>
      </c>
      <c r="J120" t="s">
        <v>670</v>
      </c>
      <c r="K120">
        <v>4</v>
      </c>
      <c r="L120">
        <v>0</v>
      </c>
      <c r="M120">
        <v>1</v>
      </c>
      <c r="N120">
        <f t="shared" si="2"/>
        <v>1.0098</v>
      </c>
      <c r="O120">
        <f t="shared" si="3"/>
        <v>4</v>
      </c>
    </row>
    <row r="121" spans="1:15" x14ac:dyDescent="0.3">
      <c r="A121" t="s">
        <v>19</v>
      </c>
      <c r="B121" t="s">
        <v>96</v>
      </c>
      <c r="C121" t="s">
        <v>149</v>
      </c>
      <c r="D121" t="s">
        <v>240</v>
      </c>
      <c r="E121" t="s">
        <v>391</v>
      </c>
      <c r="F121">
        <v>2.2000000000000002</v>
      </c>
      <c r="G121">
        <v>3.8</v>
      </c>
      <c r="H121">
        <v>3</v>
      </c>
      <c r="I121">
        <v>2.6</v>
      </c>
      <c r="J121" t="s">
        <v>670</v>
      </c>
      <c r="K121">
        <v>1</v>
      </c>
      <c r="L121">
        <v>1</v>
      </c>
      <c r="M121">
        <v>0</v>
      </c>
      <c r="N121">
        <f t="shared" si="2"/>
        <v>-1</v>
      </c>
      <c r="O121">
        <f t="shared" si="3"/>
        <v>2</v>
      </c>
    </row>
    <row r="122" spans="1:15" x14ac:dyDescent="0.3">
      <c r="A122" t="s">
        <v>19</v>
      </c>
      <c r="B122" t="s">
        <v>93</v>
      </c>
      <c r="C122" t="s">
        <v>150</v>
      </c>
      <c r="D122" t="s">
        <v>241</v>
      </c>
      <c r="E122" t="s">
        <v>486</v>
      </c>
      <c r="F122">
        <v>1.84</v>
      </c>
      <c r="G122">
        <v>5.5</v>
      </c>
      <c r="H122">
        <v>3.55</v>
      </c>
      <c r="I122">
        <v>2.2200000000000002</v>
      </c>
      <c r="J122" t="s">
        <v>670</v>
      </c>
      <c r="K122">
        <v>0</v>
      </c>
      <c r="L122">
        <v>0</v>
      </c>
      <c r="M122">
        <v>0</v>
      </c>
      <c r="N122">
        <f t="shared" si="2"/>
        <v>-1</v>
      </c>
      <c r="O122">
        <f t="shared" si="3"/>
        <v>0</v>
      </c>
    </row>
    <row r="123" spans="1:15" x14ac:dyDescent="0.3">
      <c r="A123" t="s">
        <v>19</v>
      </c>
      <c r="B123" t="s">
        <v>97</v>
      </c>
      <c r="C123" t="s">
        <v>151</v>
      </c>
      <c r="D123" t="s">
        <v>242</v>
      </c>
      <c r="E123" t="s">
        <v>487</v>
      </c>
      <c r="F123">
        <v>1.86</v>
      </c>
      <c r="G123">
        <v>4.8</v>
      </c>
      <c r="H123">
        <v>3.55</v>
      </c>
      <c r="I123">
        <v>2.2799999999999998</v>
      </c>
      <c r="J123" t="s">
        <v>670</v>
      </c>
      <c r="K123">
        <v>2</v>
      </c>
      <c r="L123">
        <v>1</v>
      </c>
      <c r="M123">
        <v>1</v>
      </c>
      <c r="N123">
        <f t="shared" si="2"/>
        <v>1.1967999999999999</v>
      </c>
      <c r="O123">
        <f t="shared" si="3"/>
        <v>3</v>
      </c>
    </row>
    <row r="124" spans="1:15" x14ac:dyDescent="0.3">
      <c r="A124" t="s">
        <v>19</v>
      </c>
      <c r="B124" t="s">
        <v>98</v>
      </c>
      <c r="C124" t="s">
        <v>143</v>
      </c>
      <c r="D124" t="s">
        <v>243</v>
      </c>
      <c r="E124" t="s">
        <v>488</v>
      </c>
      <c r="F124">
        <v>1.6</v>
      </c>
      <c r="G124">
        <v>6.8</v>
      </c>
      <c r="H124">
        <v>4.0999999999999996</v>
      </c>
      <c r="I124">
        <v>1.97</v>
      </c>
      <c r="J124" t="s">
        <v>670</v>
      </c>
      <c r="K124">
        <v>5</v>
      </c>
      <c r="L124">
        <v>0</v>
      </c>
      <c r="M124">
        <v>1</v>
      </c>
      <c r="N124">
        <f t="shared" si="2"/>
        <v>0.90695000000000003</v>
      </c>
      <c r="O124">
        <f t="shared" si="3"/>
        <v>5</v>
      </c>
    </row>
    <row r="125" spans="1:15" x14ac:dyDescent="0.3">
      <c r="A125" t="s">
        <v>19</v>
      </c>
      <c r="B125" t="s">
        <v>90</v>
      </c>
      <c r="C125" t="s">
        <v>142</v>
      </c>
      <c r="D125" t="s">
        <v>244</v>
      </c>
      <c r="E125" t="s">
        <v>422</v>
      </c>
      <c r="F125">
        <v>1.97</v>
      </c>
      <c r="G125">
        <v>4.8</v>
      </c>
      <c r="H125">
        <v>3.35</v>
      </c>
      <c r="I125">
        <v>2.46</v>
      </c>
      <c r="J125" t="s">
        <v>670</v>
      </c>
      <c r="K125">
        <v>0</v>
      </c>
      <c r="L125">
        <v>1</v>
      </c>
      <c r="M125">
        <v>0</v>
      </c>
      <c r="N125">
        <f t="shared" si="2"/>
        <v>-1</v>
      </c>
      <c r="O125">
        <f t="shared" si="3"/>
        <v>1</v>
      </c>
    </row>
    <row r="126" spans="1:15" x14ac:dyDescent="0.3">
      <c r="A126" t="s">
        <v>20</v>
      </c>
      <c r="B126" t="s">
        <v>99</v>
      </c>
      <c r="C126" t="s">
        <v>152</v>
      </c>
      <c r="D126" t="s">
        <v>245</v>
      </c>
      <c r="E126" t="s">
        <v>452</v>
      </c>
      <c r="F126">
        <v>1.72</v>
      </c>
      <c r="G126">
        <v>5.7</v>
      </c>
      <c r="H126">
        <v>3.75</v>
      </c>
      <c r="I126">
        <v>2.1</v>
      </c>
      <c r="J126" t="s">
        <v>670</v>
      </c>
      <c r="K126">
        <v>1</v>
      </c>
      <c r="L126">
        <v>2</v>
      </c>
      <c r="M126">
        <v>1</v>
      </c>
      <c r="N126">
        <f t="shared" si="2"/>
        <v>1.0285000000000002</v>
      </c>
      <c r="O126">
        <f t="shared" si="3"/>
        <v>3</v>
      </c>
    </row>
    <row r="127" spans="1:15" x14ac:dyDescent="0.3">
      <c r="A127" t="s">
        <v>20</v>
      </c>
      <c r="B127" t="s">
        <v>96</v>
      </c>
      <c r="C127" t="s">
        <v>149</v>
      </c>
      <c r="D127" t="s">
        <v>246</v>
      </c>
      <c r="E127" t="s">
        <v>489</v>
      </c>
      <c r="F127">
        <v>2.08</v>
      </c>
      <c r="G127">
        <v>4</v>
      </c>
      <c r="H127">
        <v>2.92</v>
      </c>
      <c r="I127">
        <v>2.58</v>
      </c>
      <c r="J127" t="s">
        <v>670</v>
      </c>
      <c r="K127">
        <v>1</v>
      </c>
      <c r="L127">
        <v>0</v>
      </c>
      <c r="M127">
        <v>0</v>
      </c>
      <c r="N127">
        <f t="shared" si="2"/>
        <v>-1</v>
      </c>
      <c r="O127">
        <f t="shared" si="3"/>
        <v>1</v>
      </c>
    </row>
    <row r="128" spans="1:15" x14ac:dyDescent="0.3">
      <c r="A128" t="s">
        <v>20</v>
      </c>
      <c r="B128" t="s">
        <v>92</v>
      </c>
      <c r="C128" t="s">
        <v>153</v>
      </c>
      <c r="D128" t="s">
        <v>247</v>
      </c>
      <c r="E128" t="s">
        <v>331</v>
      </c>
      <c r="F128">
        <v>1.65</v>
      </c>
      <c r="G128">
        <v>5.7</v>
      </c>
      <c r="H128">
        <v>4.0999999999999996</v>
      </c>
      <c r="I128">
        <v>2.06</v>
      </c>
      <c r="J128" t="s">
        <v>670</v>
      </c>
      <c r="K128">
        <v>4</v>
      </c>
      <c r="L128">
        <v>0</v>
      </c>
      <c r="M128">
        <v>1</v>
      </c>
      <c r="N128">
        <f t="shared" si="2"/>
        <v>0.99110000000000009</v>
      </c>
      <c r="O128">
        <f t="shared" si="3"/>
        <v>4</v>
      </c>
    </row>
    <row r="129" spans="1:15" x14ac:dyDescent="0.3">
      <c r="A129" t="s">
        <v>21</v>
      </c>
      <c r="B129" t="s">
        <v>92</v>
      </c>
      <c r="C129" t="s">
        <v>154</v>
      </c>
      <c r="D129" t="s">
        <v>248</v>
      </c>
      <c r="E129" t="s">
        <v>490</v>
      </c>
      <c r="F129">
        <v>1.87</v>
      </c>
      <c r="G129">
        <v>4.9000000000000004</v>
      </c>
      <c r="H129">
        <v>3.7</v>
      </c>
      <c r="I129">
        <v>2.1800000000000002</v>
      </c>
      <c r="J129" t="s">
        <v>670</v>
      </c>
      <c r="K129">
        <v>1</v>
      </c>
      <c r="L129">
        <v>1</v>
      </c>
      <c r="M129">
        <v>0</v>
      </c>
      <c r="N129">
        <f t="shared" si="2"/>
        <v>-1</v>
      </c>
      <c r="O129">
        <f t="shared" si="3"/>
        <v>2</v>
      </c>
    </row>
    <row r="130" spans="1:15" x14ac:dyDescent="0.3">
      <c r="A130" t="s">
        <v>22</v>
      </c>
      <c r="B130" t="s">
        <v>92</v>
      </c>
      <c r="C130" t="s">
        <v>154</v>
      </c>
      <c r="D130" t="s">
        <v>249</v>
      </c>
      <c r="E130" t="s">
        <v>463</v>
      </c>
      <c r="F130">
        <v>1.66</v>
      </c>
      <c r="G130">
        <v>6.4</v>
      </c>
      <c r="H130">
        <v>4</v>
      </c>
      <c r="I130">
        <v>2.06</v>
      </c>
      <c r="J130" t="s">
        <v>670</v>
      </c>
      <c r="K130">
        <v>1</v>
      </c>
      <c r="L130">
        <v>0</v>
      </c>
      <c r="M130">
        <v>0</v>
      </c>
      <c r="N130">
        <f t="shared" si="2"/>
        <v>-1</v>
      </c>
      <c r="O130">
        <f t="shared" si="3"/>
        <v>1</v>
      </c>
    </row>
    <row r="131" spans="1:15" x14ac:dyDescent="0.3">
      <c r="A131" t="s">
        <v>23</v>
      </c>
      <c r="B131" t="s">
        <v>100</v>
      </c>
      <c r="C131" t="s">
        <v>155</v>
      </c>
      <c r="D131" t="s">
        <v>250</v>
      </c>
      <c r="E131" t="s">
        <v>491</v>
      </c>
      <c r="F131">
        <v>3.45</v>
      </c>
      <c r="G131">
        <v>2.58</v>
      </c>
      <c r="H131">
        <v>2.5</v>
      </c>
      <c r="I131">
        <v>4</v>
      </c>
      <c r="J131" t="s">
        <v>670</v>
      </c>
      <c r="K131">
        <v>3</v>
      </c>
      <c r="L131">
        <v>1</v>
      </c>
      <c r="M131">
        <v>1</v>
      </c>
      <c r="N131">
        <f t="shared" ref="N131:N194" si="4">IF(M131=1,0.935*(I131-1),-1)</f>
        <v>2.8050000000000002</v>
      </c>
      <c r="O131">
        <f t="shared" ref="O131:O194" si="5">K131+L131</f>
        <v>4</v>
      </c>
    </row>
    <row r="132" spans="1:15" x14ac:dyDescent="0.3">
      <c r="A132" t="s">
        <v>23</v>
      </c>
      <c r="B132" t="s">
        <v>101</v>
      </c>
      <c r="C132" t="s">
        <v>156</v>
      </c>
      <c r="D132" t="s">
        <v>251</v>
      </c>
      <c r="E132" t="s">
        <v>492</v>
      </c>
      <c r="F132">
        <v>2.7</v>
      </c>
      <c r="G132">
        <v>3.35</v>
      </c>
      <c r="H132">
        <v>2.58</v>
      </c>
      <c r="I132">
        <v>3.35</v>
      </c>
      <c r="J132" t="s">
        <v>670</v>
      </c>
      <c r="K132">
        <v>1</v>
      </c>
      <c r="L132">
        <v>2</v>
      </c>
      <c r="M132">
        <v>1</v>
      </c>
      <c r="N132">
        <f t="shared" si="4"/>
        <v>2.1972500000000004</v>
      </c>
      <c r="O132">
        <f t="shared" si="5"/>
        <v>3</v>
      </c>
    </row>
    <row r="133" spans="1:15" x14ac:dyDescent="0.3">
      <c r="A133" t="s">
        <v>24</v>
      </c>
      <c r="B133" t="s">
        <v>102</v>
      </c>
      <c r="C133" t="s">
        <v>157</v>
      </c>
      <c r="D133" t="s">
        <v>252</v>
      </c>
      <c r="E133" t="s">
        <v>493</v>
      </c>
      <c r="F133">
        <v>1.97</v>
      </c>
      <c r="G133">
        <v>4.2</v>
      </c>
      <c r="H133">
        <v>3.1</v>
      </c>
      <c r="I133">
        <v>2.38</v>
      </c>
      <c r="J133" t="s">
        <v>670</v>
      </c>
      <c r="K133">
        <v>1</v>
      </c>
      <c r="L133">
        <v>1</v>
      </c>
      <c r="M133">
        <v>0</v>
      </c>
      <c r="N133">
        <f t="shared" si="4"/>
        <v>-1</v>
      </c>
      <c r="O133">
        <f t="shared" si="5"/>
        <v>2</v>
      </c>
    </row>
    <row r="134" spans="1:15" x14ac:dyDescent="0.3">
      <c r="A134" t="s">
        <v>24</v>
      </c>
      <c r="B134" t="s">
        <v>103</v>
      </c>
      <c r="C134" t="s">
        <v>158</v>
      </c>
      <c r="D134" t="s">
        <v>253</v>
      </c>
      <c r="E134" t="s">
        <v>494</v>
      </c>
      <c r="F134">
        <v>1.92</v>
      </c>
      <c r="G134">
        <v>4.5999999999999996</v>
      </c>
      <c r="H134">
        <v>3.3</v>
      </c>
      <c r="I134">
        <v>2.2200000000000002</v>
      </c>
      <c r="J134" t="s">
        <v>670</v>
      </c>
      <c r="K134">
        <v>3</v>
      </c>
      <c r="L134">
        <v>0</v>
      </c>
      <c r="M134">
        <v>1</v>
      </c>
      <c r="N134">
        <f t="shared" si="4"/>
        <v>1.1407000000000003</v>
      </c>
      <c r="O134">
        <f t="shared" si="5"/>
        <v>3</v>
      </c>
    </row>
    <row r="135" spans="1:15" x14ac:dyDescent="0.3">
      <c r="A135" t="s">
        <v>25</v>
      </c>
      <c r="B135" t="s">
        <v>89</v>
      </c>
      <c r="C135" t="s">
        <v>159</v>
      </c>
      <c r="D135" t="s">
        <v>254</v>
      </c>
      <c r="E135" t="s">
        <v>495</v>
      </c>
      <c r="F135">
        <v>1.52</v>
      </c>
      <c r="G135">
        <v>7.2</v>
      </c>
      <c r="H135">
        <v>4.5</v>
      </c>
      <c r="I135">
        <v>1.88</v>
      </c>
      <c r="J135" t="s">
        <v>670</v>
      </c>
      <c r="K135">
        <v>0</v>
      </c>
      <c r="L135">
        <v>3</v>
      </c>
      <c r="M135">
        <v>1</v>
      </c>
      <c r="N135">
        <f t="shared" si="4"/>
        <v>0.82279999999999998</v>
      </c>
      <c r="O135">
        <f t="shared" si="5"/>
        <v>3</v>
      </c>
    </row>
    <row r="136" spans="1:15" x14ac:dyDescent="0.3">
      <c r="A136" t="s">
        <v>25</v>
      </c>
      <c r="B136" t="s">
        <v>89</v>
      </c>
      <c r="C136" t="s">
        <v>159</v>
      </c>
      <c r="D136" t="s">
        <v>255</v>
      </c>
      <c r="E136" t="s">
        <v>460</v>
      </c>
      <c r="F136">
        <v>2.2200000000000002</v>
      </c>
      <c r="G136">
        <v>4</v>
      </c>
      <c r="H136">
        <v>3.2</v>
      </c>
      <c r="I136">
        <v>2.58</v>
      </c>
      <c r="J136" t="s">
        <v>670</v>
      </c>
      <c r="K136">
        <v>1</v>
      </c>
      <c r="L136">
        <v>2</v>
      </c>
      <c r="M136">
        <v>1</v>
      </c>
      <c r="N136">
        <f t="shared" si="4"/>
        <v>1.4773000000000001</v>
      </c>
      <c r="O136">
        <f t="shared" si="5"/>
        <v>3</v>
      </c>
    </row>
    <row r="137" spans="1:15" x14ac:dyDescent="0.3">
      <c r="A137" t="s">
        <v>26</v>
      </c>
      <c r="B137" t="s">
        <v>104</v>
      </c>
      <c r="C137" t="s">
        <v>160</v>
      </c>
      <c r="D137" t="s">
        <v>256</v>
      </c>
      <c r="E137" t="s">
        <v>496</v>
      </c>
      <c r="F137">
        <v>2</v>
      </c>
      <c r="G137">
        <v>4.7</v>
      </c>
      <c r="H137">
        <v>3.45</v>
      </c>
      <c r="I137">
        <v>2.38</v>
      </c>
      <c r="J137" t="s">
        <v>670</v>
      </c>
      <c r="K137">
        <v>4</v>
      </c>
      <c r="L137">
        <v>0</v>
      </c>
      <c r="M137">
        <v>1</v>
      </c>
      <c r="N137">
        <f t="shared" si="4"/>
        <v>1.2903</v>
      </c>
      <c r="O137">
        <f t="shared" si="5"/>
        <v>4</v>
      </c>
    </row>
    <row r="138" spans="1:15" x14ac:dyDescent="0.3">
      <c r="A138" t="s">
        <v>26</v>
      </c>
      <c r="B138" t="s">
        <v>96</v>
      </c>
      <c r="C138" t="s">
        <v>149</v>
      </c>
      <c r="D138" t="s">
        <v>257</v>
      </c>
      <c r="E138" t="s">
        <v>319</v>
      </c>
      <c r="F138">
        <v>1.91</v>
      </c>
      <c r="G138">
        <v>4.5</v>
      </c>
      <c r="H138">
        <v>3.3</v>
      </c>
      <c r="I138">
        <v>2.2200000000000002</v>
      </c>
      <c r="J138" t="s">
        <v>670</v>
      </c>
      <c r="K138">
        <v>2</v>
      </c>
      <c r="L138">
        <v>2</v>
      </c>
      <c r="M138">
        <v>1</v>
      </c>
      <c r="N138">
        <f t="shared" si="4"/>
        <v>1.1407000000000003</v>
      </c>
      <c r="O138">
        <f t="shared" si="5"/>
        <v>4</v>
      </c>
    </row>
    <row r="139" spans="1:15" x14ac:dyDescent="0.3">
      <c r="A139" t="s">
        <v>26</v>
      </c>
      <c r="B139" t="s">
        <v>105</v>
      </c>
      <c r="C139" t="s">
        <v>161</v>
      </c>
      <c r="D139" t="s">
        <v>258</v>
      </c>
      <c r="E139" t="s">
        <v>497</v>
      </c>
      <c r="F139">
        <v>1.66</v>
      </c>
      <c r="G139">
        <v>5.9</v>
      </c>
      <c r="H139">
        <v>3.75</v>
      </c>
      <c r="I139">
        <v>2.02</v>
      </c>
      <c r="J139" t="s">
        <v>670</v>
      </c>
      <c r="K139">
        <v>0</v>
      </c>
      <c r="L139">
        <v>1</v>
      </c>
      <c r="M139">
        <v>0</v>
      </c>
      <c r="N139">
        <f t="shared" si="4"/>
        <v>-1</v>
      </c>
      <c r="O139">
        <f t="shared" si="5"/>
        <v>1</v>
      </c>
    </row>
    <row r="140" spans="1:15" x14ac:dyDescent="0.3">
      <c r="A140" t="s">
        <v>26</v>
      </c>
      <c r="B140" t="s">
        <v>93</v>
      </c>
      <c r="C140" t="s">
        <v>162</v>
      </c>
      <c r="D140" t="s">
        <v>259</v>
      </c>
      <c r="E140" t="s">
        <v>419</v>
      </c>
      <c r="F140">
        <v>1.65</v>
      </c>
      <c r="G140">
        <v>5.9</v>
      </c>
      <c r="H140">
        <v>4.0999999999999996</v>
      </c>
      <c r="I140">
        <v>1.98</v>
      </c>
      <c r="J140" t="s">
        <v>670</v>
      </c>
      <c r="K140">
        <v>1</v>
      </c>
      <c r="L140">
        <v>0</v>
      </c>
      <c r="M140">
        <v>0</v>
      </c>
      <c r="N140">
        <f t="shared" si="4"/>
        <v>-1</v>
      </c>
      <c r="O140">
        <f t="shared" si="5"/>
        <v>1</v>
      </c>
    </row>
    <row r="141" spans="1:15" x14ac:dyDescent="0.3">
      <c r="A141" t="s">
        <v>26</v>
      </c>
      <c r="B141" t="s">
        <v>93</v>
      </c>
      <c r="C141" t="s">
        <v>163</v>
      </c>
      <c r="D141" t="s">
        <v>260</v>
      </c>
      <c r="E141" t="s">
        <v>498</v>
      </c>
      <c r="F141">
        <v>1.96</v>
      </c>
      <c r="G141">
        <v>4.7</v>
      </c>
      <c r="H141">
        <v>3.55</v>
      </c>
      <c r="I141">
        <v>2.3199999999999998</v>
      </c>
      <c r="J141" t="s">
        <v>670</v>
      </c>
      <c r="K141">
        <v>1</v>
      </c>
      <c r="L141">
        <v>2</v>
      </c>
      <c r="M141">
        <v>1</v>
      </c>
      <c r="N141">
        <f t="shared" si="4"/>
        <v>1.2342</v>
      </c>
      <c r="O141">
        <f t="shared" si="5"/>
        <v>3</v>
      </c>
    </row>
    <row r="142" spans="1:15" x14ac:dyDescent="0.3">
      <c r="A142" t="s">
        <v>26</v>
      </c>
      <c r="B142" t="s">
        <v>106</v>
      </c>
      <c r="C142" t="s">
        <v>164</v>
      </c>
      <c r="D142" t="s">
        <v>261</v>
      </c>
      <c r="E142" t="s">
        <v>499</v>
      </c>
      <c r="F142">
        <v>2.2000000000000002</v>
      </c>
      <c r="G142">
        <v>3.85</v>
      </c>
      <c r="H142">
        <v>3.05</v>
      </c>
      <c r="I142">
        <v>2.64</v>
      </c>
      <c r="J142" t="s">
        <v>670</v>
      </c>
      <c r="K142">
        <v>2</v>
      </c>
      <c r="L142">
        <v>0</v>
      </c>
      <c r="M142">
        <v>0</v>
      </c>
      <c r="N142">
        <f t="shared" si="4"/>
        <v>-1</v>
      </c>
      <c r="O142">
        <f t="shared" si="5"/>
        <v>2</v>
      </c>
    </row>
    <row r="143" spans="1:15" x14ac:dyDescent="0.3">
      <c r="A143" t="s">
        <v>27</v>
      </c>
      <c r="B143" t="s">
        <v>107</v>
      </c>
      <c r="C143" t="s">
        <v>147</v>
      </c>
      <c r="D143" t="s">
        <v>262</v>
      </c>
      <c r="E143" t="s">
        <v>500</v>
      </c>
      <c r="F143">
        <v>2.3199999999999998</v>
      </c>
      <c r="G143">
        <v>3.45</v>
      </c>
      <c r="H143">
        <v>2.88</v>
      </c>
      <c r="I143">
        <v>2.66</v>
      </c>
      <c r="J143" t="s">
        <v>670</v>
      </c>
      <c r="K143">
        <v>2</v>
      </c>
      <c r="L143">
        <v>2</v>
      </c>
      <c r="M143">
        <v>1</v>
      </c>
      <c r="N143">
        <f t="shared" si="4"/>
        <v>1.5521000000000003</v>
      </c>
      <c r="O143">
        <f t="shared" si="5"/>
        <v>4</v>
      </c>
    </row>
    <row r="144" spans="1:15" x14ac:dyDescent="0.3">
      <c r="A144" t="s">
        <v>28</v>
      </c>
      <c r="B144" t="s">
        <v>89</v>
      </c>
      <c r="C144" t="s">
        <v>160</v>
      </c>
      <c r="D144" t="s">
        <v>263</v>
      </c>
      <c r="E144" t="s">
        <v>501</v>
      </c>
      <c r="F144">
        <v>2.08</v>
      </c>
      <c r="G144">
        <v>4.4000000000000004</v>
      </c>
      <c r="H144">
        <v>3.35</v>
      </c>
      <c r="I144">
        <v>2.5</v>
      </c>
      <c r="J144" t="s">
        <v>670</v>
      </c>
      <c r="K144">
        <v>1</v>
      </c>
      <c r="L144">
        <v>1</v>
      </c>
      <c r="M144">
        <v>0</v>
      </c>
      <c r="N144">
        <f t="shared" si="4"/>
        <v>-1</v>
      </c>
      <c r="O144">
        <f t="shared" si="5"/>
        <v>2</v>
      </c>
    </row>
    <row r="145" spans="1:15" x14ac:dyDescent="0.3">
      <c r="A145" t="s">
        <v>29</v>
      </c>
      <c r="B145" t="s">
        <v>100</v>
      </c>
      <c r="C145" t="s">
        <v>165</v>
      </c>
      <c r="D145" t="s">
        <v>264</v>
      </c>
      <c r="E145" t="s">
        <v>502</v>
      </c>
      <c r="F145">
        <v>1.92</v>
      </c>
      <c r="G145">
        <v>4.7</v>
      </c>
      <c r="H145">
        <v>3.5</v>
      </c>
      <c r="I145">
        <v>2.3199999999999998</v>
      </c>
      <c r="J145" t="s">
        <v>670</v>
      </c>
      <c r="K145">
        <v>2</v>
      </c>
      <c r="L145">
        <v>2</v>
      </c>
      <c r="M145">
        <v>1</v>
      </c>
      <c r="N145">
        <f t="shared" si="4"/>
        <v>1.2342</v>
      </c>
      <c r="O145">
        <f t="shared" si="5"/>
        <v>4</v>
      </c>
    </row>
    <row r="146" spans="1:15" x14ac:dyDescent="0.3">
      <c r="A146" t="s">
        <v>29</v>
      </c>
      <c r="B146" t="s">
        <v>93</v>
      </c>
      <c r="C146" t="s">
        <v>152</v>
      </c>
      <c r="D146" t="s">
        <v>265</v>
      </c>
      <c r="E146" t="s">
        <v>279</v>
      </c>
      <c r="F146">
        <v>2.12</v>
      </c>
      <c r="G146">
        <v>4.0999999999999996</v>
      </c>
      <c r="H146">
        <v>3.15</v>
      </c>
      <c r="I146">
        <v>2.44</v>
      </c>
      <c r="J146" t="s">
        <v>670</v>
      </c>
      <c r="K146">
        <v>1</v>
      </c>
      <c r="L146">
        <v>1</v>
      </c>
      <c r="M146">
        <v>0</v>
      </c>
      <c r="N146">
        <f t="shared" si="4"/>
        <v>-1</v>
      </c>
      <c r="O146">
        <f t="shared" si="5"/>
        <v>2</v>
      </c>
    </row>
    <row r="147" spans="1:15" x14ac:dyDescent="0.3">
      <c r="A147" t="s">
        <v>29</v>
      </c>
      <c r="B147" t="s">
        <v>108</v>
      </c>
      <c r="C147" t="s">
        <v>166</v>
      </c>
      <c r="D147" t="s">
        <v>266</v>
      </c>
      <c r="E147" t="s">
        <v>503</v>
      </c>
      <c r="F147">
        <v>2.2799999999999998</v>
      </c>
      <c r="G147">
        <v>3.7</v>
      </c>
      <c r="H147">
        <v>2.98</v>
      </c>
      <c r="I147">
        <v>2.76</v>
      </c>
      <c r="J147" t="s">
        <v>670</v>
      </c>
      <c r="K147">
        <v>2</v>
      </c>
      <c r="L147">
        <v>1</v>
      </c>
      <c r="M147">
        <v>1</v>
      </c>
      <c r="N147">
        <f t="shared" si="4"/>
        <v>1.6456</v>
      </c>
      <c r="O147">
        <f t="shared" si="5"/>
        <v>3</v>
      </c>
    </row>
    <row r="148" spans="1:15" x14ac:dyDescent="0.3">
      <c r="A148" t="s">
        <v>29</v>
      </c>
      <c r="B148" t="s">
        <v>109</v>
      </c>
      <c r="C148" t="s">
        <v>149</v>
      </c>
      <c r="D148" t="s">
        <v>267</v>
      </c>
      <c r="E148" t="s">
        <v>504</v>
      </c>
      <c r="F148">
        <v>1.84</v>
      </c>
      <c r="G148">
        <v>4.3</v>
      </c>
      <c r="H148">
        <v>3.4</v>
      </c>
      <c r="I148">
        <v>2.2999999999999998</v>
      </c>
      <c r="J148" t="s">
        <v>670</v>
      </c>
      <c r="K148">
        <v>2</v>
      </c>
      <c r="L148">
        <v>2</v>
      </c>
      <c r="M148">
        <v>1</v>
      </c>
      <c r="N148">
        <f t="shared" si="4"/>
        <v>1.2154999999999998</v>
      </c>
      <c r="O148">
        <f t="shared" si="5"/>
        <v>4</v>
      </c>
    </row>
    <row r="149" spans="1:15" x14ac:dyDescent="0.3">
      <c r="A149" t="s">
        <v>29</v>
      </c>
      <c r="B149" t="s">
        <v>110</v>
      </c>
      <c r="C149" t="s">
        <v>163</v>
      </c>
      <c r="D149" t="s">
        <v>268</v>
      </c>
      <c r="E149" t="s">
        <v>505</v>
      </c>
      <c r="F149">
        <v>1.7</v>
      </c>
      <c r="G149">
        <v>6.2</v>
      </c>
      <c r="H149">
        <v>3.9</v>
      </c>
      <c r="I149">
        <v>2.14</v>
      </c>
      <c r="J149" t="s">
        <v>670</v>
      </c>
      <c r="K149">
        <v>0</v>
      </c>
      <c r="L149">
        <v>0</v>
      </c>
      <c r="M149">
        <v>0</v>
      </c>
      <c r="N149">
        <f t="shared" si="4"/>
        <v>-1</v>
      </c>
      <c r="O149">
        <f t="shared" si="5"/>
        <v>0</v>
      </c>
    </row>
    <row r="150" spans="1:15" x14ac:dyDescent="0.3">
      <c r="A150" t="s">
        <v>29</v>
      </c>
      <c r="B150" t="s">
        <v>102</v>
      </c>
      <c r="C150" t="s">
        <v>160</v>
      </c>
      <c r="D150" t="s">
        <v>269</v>
      </c>
      <c r="E150" t="s">
        <v>506</v>
      </c>
      <c r="F150">
        <v>2.2999999999999998</v>
      </c>
      <c r="G150">
        <v>3.95</v>
      </c>
      <c r="H150">
        <v>3.15</v>
      </c>
      <c r="I150">
        <v>2.72</v>
      </c>
      <c r="J150" t="s">
        <v>670</v>
      </c>
      <c r="K150">
        <v>3</v>
      </c>
      <c r="L150">
        <v>0</v>
      </c>
      <c r="M150">
        <v>1</v>
      </c>
      <c r="N150">
        <f t="shared" si="4"/>
        <v>1.6082000000000003</v>
      </c>
      <c r="O150">
        <f t="shared" si="5"/>
        <v>3</v>
      </c>
    </row>
    <row r="151" spans="1:15" x14ac:dyDescent="0.3">
      <c r="A151" t="s">
        <v>29</v>
      </c>
      <c r="B151" t="s">
        <v>101</v>
      </c>
      <c r="C151" t="s">
        <v>156</v>
      </c>
      <c r="D151" t="s">
        <v>270</v>
      </c>
      <c r="E151" t="s">
        <v>507</v>
      </c>
      <c r="F151">
        <v>2.06</v>
      </c>
      <c r="G151">
        <v>4.4000000000000004</v>
      </c>
      <c r="H151">
        <v>2.86</v>
      </c>
      <c r="I151">
        <v>2.52</v>
      </c>
      <c r="J151" t="s">
        <v>670</v>
      </c>
      <c r="K151">
        <v>0</v>
      </c>
      <c r="L151">
        <v>0</v>
      </c>
      <c r="M151">
        <v>0</v>
      </c>
      <c r="N151">
        <f t="shared" si="4"/>
        <v>-1</v>
      </c>
      <c r="O151">
        <f t="shared" si="5"/>
        <v>0</v>
      </c>
    </row>
    <row r="152" spans="1:15" x14ac:dyDescent="0.3">
      <c r="A152" t="s">
        <v>30</v>
      </c>
      <c r="B152" t="s">
        <v>109</v>
      </c>
      <c r="C152" t="s">
        <v>149</v>
      </c>
      <c r="D152" t="s">
        <v>246</v>
      </c>
      <c r="E152" t="s">
        <v>508</v>
      </c>
      <c r="F152">
        <v>2.06</v>
      </c>
      <c r="G152">
        <v>3.85</v>
      </c>
      <c r="H152">
        <v>3.4</v>
      </c>
      <c r="I152">
        <v>2.5</v>
      </c>
      <c r="J152" t="s">
        <v>670</v>
      </c>
      <c r="K152">
        <v>1</v>
      </c>
      <c r="L152">
        <v>0</v>
      </c>
      <c r="M152">
        <v>0</v>
      </c>
      <c r="N152">
        <f t="shared" si="4"/>
        <v>-1</v>
      </c>
      <c r="O152">
        <f t="shared" si="5"/>
        <v>1</v>
      </c>
    </row>
    <row r="153" spans="1:15" x14ac:dyDescent="0.3">
      <c r="A153" t="s">
        <v>30</v>
      </c>
      <c r="B153" t="s">
        <v>101</v>
      </c>
      <c r="C153" t="s">
        <v>167</v>
      </c>
      <c r="D153" t="s">
        <v>271</v>
      </c>
      <c r="E153" t="s">
        <v>350</v>
      </c>
      <c r="F153">
        <v>2.1800000000000002</v>
      </c>
      <c r="G153">
        <v>3.95</v>
      </c>
      <c r="H153">
        <v>3.4</v>
      </c>
      <c r="I153">
        <v>2.56</v>
      </c>
      <c r="J153" t="s">
        <v>670</v>
      </c>
      <c r="K153">
        <v>1</v>
      </c>
      <c r="L153">
        <v>2</v>
      </c>
      <c r="M153">
        <v>1</v>
      </c>
      <c r="N153">
        <f t="shared" si="4"/>
        <v>1.4586000000000001</v>
      </c>
      <c r="O153">
        <f t="shared" si="5"/>
        <v>3</v>
      </c>
    </row>
    <row r="154" spans="1:15" x14ac:dyDescent="0.3">
      <c r="A154" t="s">
        <v>31</v>
      </c>
      <c r="B154" t="s">
        <v>110</v>
      </c>
      <c r="C154" t="s">
        <v>168</v>
      </c>
      <c r="D154" t="s">
        <v>272</v>
      </c>
      <c r="E154" t="s">
        <v>509</v>
      </c>
      <c r="F154">
        <v>2.48</v>
      </c>
      <c r="G154">
        <v>4</v>
      </c>
      <c r="H154">
        <v>2.82</v>
      </c>
      <c r="I154">
        <v>3.1</v>
      </c>
      <c r="J154" t="s">
        <v>670</v>
      </c>
      <c r="K154">
        <v>2</v>
      </c>
      <c r="L154">
        <v>1</v>
      </c>
      <c r="M154">
        <v>1</v>
      </c>
      <c r="N154">
        <f t="shared" si="4"/>
        <v>1.9635000000000002</v>
      </c>
      <c r="O154">
        <f t="shared" si="5"/>
        <v>3</v>
      </c>
    </row>
    <row r="155" spans="1:15" x14ac:dyDescent="0.3">
      <c r="A155" t="s">
        <v>31</v>
      </c>
      <c r="B155" t="s">
        <v>89</v>
      </c>
      <c r="C155" t="s">
        <v>160</v>
      </c>
      <c r="D155" t="s">
        <v>273</v>
      </c>
      <c r="E155" t="s">
        <v>510</v>
      </c>
      <c r="F155">
        <v>1.92</v>
      </c>
      <c r="G155">
        <v>5</v>
      </c>
      <c r="H155">
        <v>3.5</v>
      </c>
      <c r="I155">
        <v>2.42</v>
      </c>
      <c r="J155" t="s">
        <v>670</v>
      </c>
      <c r="K155">
        <v>1</v>
      </c>
      <c r="L155">
        <v>2</v>
      </c>
      <c r="M155">
        <v>1</v>
      </c>
      <c r="N155">
        <f t="shared" si="4"/>
        <v>1.3277000000000001</v>
      </c>
      <c r="O155">
        <f t="shared" si="5"/>
        <v>3</v>
      </c>
    </row>
    <row r="156" spans="1:15" x14ac:dyDescent="0.3">
      <c r="A156" t="s">
        <v>32</v>
      </c>
      <c r="B156" t="s">
        <v>111</v>
      </c>
      <c r="C156" t="s">
        <v>169</v>
      </c>
      <c r="D156" t="s">
        <v>274</v>
      </c>
      <c r="E156" t="s">
        <v>511</v>
      </c>
      <c r="F156">
        <v>2.02</v>
      </c>
      <c r="G156">
        <v>4.7</v>
      </c>
      <c r="H156">
        <v>3.05</v>
      </c>
      <c r="I156">
        <v>2.34</v>
      </c>
      <c r="J156" t="s">
        <v>670</v>
      </c>
      <c r="K156">
        <v>2</v>
      </c>
      <c r="L156">
        <v>0</v>
      </c>
      <c r="M156">
        <v>0</v>
      </c>
      <c r="N156">
        <f t="shared" si="4"/>
        <v>-1</v>
      </c>
      <c r="O156">
        <f t="shared" si="5"/>
        <v>2</v>
      </c>
    </row>
    <row r="157" spans="1:15" x14ac:dyDescent="0.3">
      <c r="A157" t="s">
        <v>33</v>
      </c>
      <c r="B157" t="s">
        <v>92</v>
      </c>
      <c r="C157" t="s">
        <v>170</v>
      </c>
      <c r="D157" t="s">
        <v>275</v>
      </c>
      <c r="E157" t="s">
        <v>339</v>
      </c>
      <c r="F157">
        <v>1.83</v>
      </c>
      <c r="G157">
        <v>5.2</v>
      </c>
      <c r="H157">
        <v>3.7</v>
      </c>
      <c r="I157">
        <v>2.12</v>
      </c>
      <c r="J157" t="s">
        <v>670</v>
      </c>
      <c r="K157">
        <v>1</v>
      </c>
      <c r="L157">
        <v>2</v>
      </c>
      <c r="M157">
        <v>1</v>
      </c>
      <c r="N157">
        <f t="shared" si="4"/>
        <v>1.0472000000000001</v>
      </c>
      <c r="O157">
        <f t="shared" si="5"/>
        <v>3</v>
      </c>
    </row>
    <row r="158" spans="1:15" x14ac:dyDescent="0.3">
      <c r="A158" t="s">
        <v>34</v>
      </c>
      <c r="B158" t="s">
        <v>104</v>
      </c>
      <c r="C158" t="s">
        <v>171</v>
      </c>
      <c r="D158" t="s">
        <v>276</v>
      </c>
      <c r="E158" t="s">
        <v>373</v>
      </c>
      <c r="F158">
        <v>2.1</v>
      </c>
      <c r="G158">
        <v>3.65</v>
      </c>
      <c r="H158">
        <v>2.84</v>
      </c>
      <c r="I158">
        <v>2.44</v>
      </c>
      <c r="J158" t="s">
        <v>670</v>
      </c>
      <c r="K158">
        <v>3</v>
      </c>
      <c r="L158">
        <v>2</v>
      </c>
      <c r="M158">
        <v>1</v>
      </c>
      <c r="N158">
        <f t="shared" si="4"/>
        <v>1.3464</v>
      </c>
      <c r="O158">
        <f t="shared" si="5"/>
        <v>5</v>
      </c>
    </row>
    <row r="159" spans="1:15" x14ac:dyDescent="0.3">
      <c r="A159" t="s">
        <v>34</v>
      </c>
      <c r="B159" t="s">
        <v>104</v>
      </c>
      <c r="C159" t="s">
        <v>172</v>
      </c>
      <c r="D159" t="s">
        <v>277</v>
      </c>
      <c r="E159" t="s">
        <v>309</v>
      </c>
      <c r="F159">
        <v>2.12</v>
      </c>
      <c r="G159">
        <v>4</v>
      </c>
      <c r="H159">
        <v>3</v>
      </c>
      <c r="I159">
        <v>2.52</v>
      </c>
      <c r="J159" t="s">
        <v>670</v>
      </c>
      <c r="K159">
        <v>1</v>
      </c>
      <c r="L159">
        <v>0</v>
      </c>
      <c r="M159">
        <v>0</v>
      </c>
      <c r="N159">
        <f t="shared" si="4"/>
        <v>-1</v>
      </c>
      <c r="O159">
        <f t="shared" si="5"/>
        <v>1</v>
      </c>
    </row>
    <row r="160" spans="1:15" x14ac:dyDescent="0.3">
      <c r="A160" t="s">
        <v>34</v>
      </c>
      <c r="B160" t="s">
        <v>93</v>
      </c>
      <c r="C160" t="s">
        <v>152</v>
      </c>
      <c r="D160" t="s">
        <v>278</v>
      </c>
      <c r="E160" t="s">
        <v>512</v>
      </c>
      <c r="F160">
        <v>1.96</v>
      </c>
      <c r="G160">
        <v>4.9000000000000004</v>
      </c>
      <c r="H160">
        <v>3.35</v>
      </c>
      <c r="I160">
        <v>2.4</v>
      </c>
      <c r="J160" t="s">
        <v>670</v>
      </c>
      <c r="K160">
        <v>2</v>
      </c>
      <c r="L160">
        <v>1</v>
      </c>
      <c r="M160">
        <v>1</v>
      </c>
      <c r="N160">
        <f t="shared" si="4"/>
        <v>1.3089999999999999</v>
      </c>
      <c r="O160">
        <f t="shared" si="5"/>
        <v>3</v>
      </c>
    </row>
    <row r="161" spans="1:15" x14ac:dyDescent="0.3">
      <c r="A161" t="s">
        <v>34</v>
      </c>
      <c r="B161" t="s">
        <v>93</v>
      </c>
      <c r="C161" t="s">
        <v>152</v>
      </c>
      <c r="D161" t="s">
        <v>279</v>
      </c>
      <c r="E161" t="s">
        <v>366</v>
      </c>
      <c r="F161">
        <v>2.2799999999999998</v>
      </c>
      <c r="G161">
        <v>4.0999999999999996</v>
      </c>
      <c r="H161">
        <v>3.1</v>
      </c>
      <c r="I161">
        <v>2.62</v>
      </c>
      <c r="J161" t="s">
        <v>670</v>
      </c>
      <c r="K161">
        <v>1</v>
      </c>
      <c r="L161">
        <v>0</v>
      </c>
      <c r="M161">
        <v>0</v>
      </c>
      <c r="N161">
        <f t="shared" si="4"/>
        <v>-1</v>
      </c>
      <c r="O161">
        <f t="shared" si="5"/>
        <v>1</v>
      </c>
    </row>
    <row r="162" spans="1:15" x14ac:dyDescent="0.3">
      <c r="A162" t="s">
        <v>34</v>
      </c>
      <c r="B162" t="s">
        <v>93</v>
      </c>
      <c r="C162" t="s">
        <v>163</v>
      </c>
      <c r="D162" t="s">
        <v>280</v>
      </c>
      <c r="E162" t="s">
        <v>513</v>
      </c>
      <c r="F162">
        <v>1.93</v>
      </c>
      <c r="G162">
        <v>4.9000000000000004</v>
      </c>
      <c r="H162">
        <v>3.5</v>
      </c>
      <c r="I162">
        <v>2.2799999999999998</v>
      </c>
      <c r="J162" t="s">
        <v>670</v>
      </c>
      <c r="K162">
        <v>1</v>
      </c>
      <c r="L162">
        <v>2</v>
      </c>
      <c r="M162">
        <v>1</v>
      </c>
      <c r="N162">
        <f t="shared" si="4"/>
        <v>1.1967999999999999</v>
      </c>
      <c r="O162">
        <f t="shared" si="5"/>
        <v>3</v>
      </c>
    </row>
    <row r="163" spans="1:15" x14ac:dyDescent="0.3">
      <c r="A163" t="s">
        <v>35</v>
      </c>
      <c r="B163" t="s">
        <v>100</v>
      </c>
      <c r="C163" t="s">
        <v>168</v>
      </c>
      <c r="D163" t="s">
        <v>281</v>
      </c>
      <c r="E163" t="s">
        <v>514</v>
      </c>
      <c r="F163">
        <v>1.93</v>
      </c>
      <c r="G163">
        <v>5.0999999999999996</v>
      </c>
      <c r="H163">
        <v>3.4</v>
      </c>
      <c r="I163">
        <v>2.38</v>
      </c>
      <c r="J163" t="s">
        <v>670</v>
      </c>
      <c r="K163">
        <v>2</v>
      </c>
      <c r="L163">
        <v>3</v>
      </c>
      <c r="M163">
        <v>1</v>
      </c>
      <c r="N163">
        <f t="shared" si="4"/>
        <v>1.2903</v>
      </c>
      <c r="O163">
        <f t="shared" si="5"/>
        <v>5</v>
      </c>
    </row>
    <row r="164" spans="1:15" x14ac:dyDescent="0.3">
      <c r="A164" t="s">
        <v>35</v>
      </c>
      <c r="B164" t="s">
        <v>102</v>
      </c>
      <c r="C164" t="s">
        <v>168</v>
      </c>
      <c r="D164" t="s">
        <v>252</v>
      </c>
      <c r="E164" t="s">
        <v>515</v>
      </c>
      <c r="F164">
        <v>1.97</v>
      </c>
      <c r="G164">
        <v>5</v>
      </c>
      <c r="H164">
        <v>3.3</v>
      </c>
      <c r="I164">
        <v>2.44</v>
      </c>
      <c r="J164" t="s">
        <v>670</v>
      </c>
      <c r="K164">
        <v>1</v>
      </c>
      <c r="L164">
        <v>0</v>
      </c>
      <c r="M164">
        <v>0</v>
      </c>
      <c r="N164">
        <f t="shared" si="4"/>
        <v>-1</v>
      </c>
      <c r="O164">
        <f t="shared" si="5"/>
        <v>1</v>
      </c>
    </row>
    <row r="165" spans="1:15" x14ac:dyDescent="0.3">
      <c r="A165" t="s">
        <v>36</v>
      </c>
      <c r="B165" t="s">
        <v>97</v>
      </c>
      <c r="C165" t="s">
        <v>173</v>
      </c>
      <c r="D165" t="s">
        <v>282</v>
      </c>
      <c r="E165" t="s">
        <v>516</v>
      </c>
      <c r="F165">
        <v>2.4</v>
      </c>
      <c r="G165">
        <v>3.15</v>
      </c>
      <c r="H165">
        <v>2.66</v>
      </c>
      <c r="I165">
        <v>2.78</v>
      </c>
      <c r="J165" t="s">
        <v>670</v>
      </c>
      <c r="K165">
        <v>2</v>
      </c>
      <c r="L165">
        <v>1</v>
      </c>
      <c r="M165">
        <v>1</v>
      </c>
      <c r="N165">
        <f t="shared" si="4"/>
        <v>1.6642999999999999</v>
      </c>
      <c r="O165">
        <f t="shared" si="5"/>
        <v>3</v>
      </c>
    </row>
    <row r="166" spans="1:15" x14ac:dyDescent="0.3">
      <c r="A166" t="s">
        <v>36</v>
      </c>
      <c r="B166" t="s">
        <v>92</v>
      </c>
      <c r="C166" t="s">
        <v>174</v>
      </c>
      <c r="D166" t="s">
        <v>283</v>
      </c>
      <c r="E166" t="s">
        <v>517</v>
      </c>
      <c r="F166">
        <v>2.08</v>
      </c>
      <c r="G166">
        <v>4.2</v>
      </c>
      <c r="H166">
        <v>3.5</v>
      </c>
      <c r="I166">
        <v>2.46</v>
      </c>
      <c r="J166" t="s">
        <v>670</v>
      </c>
      <c r="K166">
        <v>1</v>
      </c>
      <c r="L166">
        <v>2</v>
      </c>
      <c r="M166">
        <v>1</v>
      </c>
      <c r="N166">
        <f t="shared" si="4"/>
        <v>1.3651</v>
      </c>
      <c r="O166">
        <f t="shared" si="5"/>
        <v>3</v>
      </c>
    </row>
    <row r="167" spans="1:15" x14ac:dyDescent="0.3">
      <c r="A167" t="s">
        <v>36</v>
      </c>
      <c r="B167" t="s">
        <v>92</v>
      </c>
      <c r="C167" t="s">
        <v>165</v>
      </c>
      <c r="D167" t="s">
        <v>284</v>
      </c>
      <c r="E167" t="s">
        <v>518</v>
      </c>
      <c r="F167">
        <v>1.68</v>
      </c>
      <c r="G167">
        <v>6</v>
      </c>
      <c r="H167">
        <v>4.0999999999999996</v>
      </c>
      <c r="I167">
        <v>2.02</v>
      </c>
      <c r="J167" t="s">
        <v>670</v>
      </c>
      <c r="K167">
        <v>1</v>
      </c>
      <c r="L167">
        <v>0</v>
      </c>
      <c r="M167">
        <v>0</v>
      </c>
      <c r="N167">
        <f t="shared" si="4"/>
        <v>-1</v>
      </c>
      <c r="O167">
        <f t="shared" si="5"/>
        <v>1</v>
      </c>
    </row>
    <row r="168" spans="1:15" x14ac:dyDescent="0.3">
      <c r="A168" t="s">
        <v>37</v>
      </c>
      <c r="B168" t="s">
        <v>92</v>
      </c>
      <c r="C168" t="s">
        <v>175</v>
      </c>
      <c r="D168" t="s">
        <v>285</v>
      </c>
      <c r="E168" t="s">
        <v>519</v>
      </c>
      <c r="F168">
        <v>1.75</v>
      </c>
      <c r="G168">
        <v>5.4</v>
      </c>
      <c r="H168">
        <v>3.55</v>
      </c>
      <c r="I168">
        <v>2.1</v>
      </c>
      <c r="J168" t="s">
        <v>670</v>
      </c>
      <c r="K168">
        <v>0</v>
      </c>
      <c r="L168">
        <v>0</v>
      </c>
      <c r="M168">
        <v>0</v>
      </c>
      <c r="N168">
        <f t="shared" si="4"/>
        <v>-1</v>
      </c>
      <c r="O168">
        <f t="shared" si="5"/>
        <v>0</v>
      </c>
    </row>
    <row r="169" spans="1:15" x14ac:dyDescent="0.3">
      <c r="A169" t="s">
        <v>38</v>
      </c>
      <c r="B169" t="s">
        <v>108</v>
      </c>
      <c r="C169" t="s">
        <v>156</v>
      </c>
      <c r="D169" t="s">
        <v>286</v>
      </c>
      <c r="E169" t="s">
        <v>520</v>
      </c>
      <c r="F169">
        <v>2.36</v>
      </c>
      <c r="G169">
        <v>3.65</v>
      </c>
      <c r="H169">
        <v>3.05</v>
      </c>
      <c r="I169">
        <v>2.74</v>
      </c>
      <c r="J169" t="s">
        <v>670</v>
      </c>
      <c r="K169">
        <v>2</v>
      </c>
      <c r="L169">
        <v>1</v>
      </c>
      <c r="M169">
        <v>1</v>
      </c>
      <c r="N169">
        <f t="shared" si="4"/>
        <v>1.6269000000000002</v>
      </c>
      <c r="O169">
        <f t="shared" si="5"/>
        <v>3</v>
      </c>
    </row>
    <row r="170" spans="1:15" x14ac:dyDescent="0.3">
      <c r="A170" t="s">
        <v>39</v>
      </c>
      <c r="B170" t="s">
        <v>108</v>
      </c>
      <c r="C170" t="s">
        <v>174</v>
      </c>
      <c r="D170" t="s">
        <v>287</v>
      </c>
      <c r="E170" t="s">
        <v>283</v>
      </c>
      <c r="F170">
        <v>2.3199999999999998</v>
      </c>
      <c r="G170">
        <v>3.65</v>
      </c>
      <c r="H170">
        <v>3.2</v>
      </c>
      <c r="I170">
        <v>2.72</v>
      </c>
      <c r="J170" t="s">
        <v>670</v>
      </c>
      <c r="K170">
        <v>2</v>
      </c>
      <c r="L170">
        <v>0</v>
      </c>
      <c r="M170">
        <v>0</v>
      </c>
      <c r="N170">
        <f t="shared" si="4"/>
        <v>-1</v>
      </c>
      <c r="O170">
        <f t="shared" si="5"/>
        <v>2</v>
      </c>
    </row>
    <row r="171" spans="1:15" x14ac:dyDescent="0.3">
      <c r="A171" t="s">
        <v>39</v>
      </c>
      <c r="B171" t="s">
        <v>108</v>
      </c>
      <c r="C171" t="s">
        <v>154</v>
      </c>
      <c r="D171" t="s">
        <v>288</v>
      </c>
      <c r="E171" t="s">
        <v>521</v>
      </c>
      <c r="F171">
        <v>1.74</v>
      </c>
      <c r="G171">
        <v>5.4</v>
      </c>
      <c r="H171">
        <v>4</v>
      </c>
      <c r="I171">
        <v>2.02</v>
      </c>
      <c r="J171" t="s">
        <v>670</v>
      </c>
      <c r="K171">
        <v>5</v>
      </c>
      <c r="L171">
        <v>0</v>
      </c>
      <c r="M171">
        <v>1</v>
      </c>
      <c r="N171">
        <f t="shared" si="4"/>
        <v>0.9537000000000001</v>
      </c>
      <c r="O171">
        <f t="shared" si="5"/>
        <v>5</v>
      </c>
    </row>
    <row r="172" spans="1:15" x14ac:dyDescent="0.3">
      <c r="A172" t="s">
        <v>40</v>
      </c>
      <c r="B172" t="s">
        <v>104</v>
      </c>
      <c r="C172" t="s">
        <v>176</v>
      </c>
      <c r="D172" t="s">
        <v>289</v>
      </c>
      <c r="E172" t="s">
        <v>522</v>
      </c>
      <c r="F172">
        <v>2.2000000000000002</v>
      </c>
      <c r="G172">
        <v>3.65</v>
      </c>
      <c r="H172">
        <v>3</v>
      </c>
      <c r="I172">
        <v>2.6</v>
      </c>
      <c r="J172" t="s">
        <v>670</v>
      </c>
      <c r="K172">
        <v>1</v>
      </c>
      <c r="L172">
        <v>0</v>
      </c>
      <c r="M172">
        <v>0</v>
      </c>
      <c r="N172">
        <f t="shared" si="4"/>
        <v>-1</v>
      </c>
      <c r="O172">
        <f t="shared" si="5"/>
        <v>1</v>
      </c>
    </row>
    <row r="173" spans="1:15" x14ac:dyDescent="0.3">
      <c r="A173" t="s">
        <v>40</v>
      </c>
      <c r="B173" t="s">
        <v>112</v>
      </c>
      <c r="C173" t="s">
        <v>177</v>
      </c>
      <c r="D173" t="s">
        <v>290</v>
      </c>
      <c r="E173" t="s">
        <v>523</v>
      </c>
      <c r="F173">
        <v>1.86</v>
      </c>
      <c r="G173">
        <v>4.9000000000000004</v>
      </c>
      <c r="H173">
        <v>3.55</v>
      </c>
      <c r="I173">
        <v>2.2599999999999998</v>
      </c>
      <c r="J173" t="s">
        <v>670</v>
      </c>
      <c r="K173">
        <v>1</v>
      </c>
      <c r="L173">
        <v>1</v>
      </c>
      <c r="M173">
        <v>0</v>
      </c>
      <c r="N173">
        <f t="shared" si="4"/>
        <v>-1</v>
      </c>
      <c r="O173">
        <f t="shared" si="5"/>
        <v>2</v>
      </c>
    </row>
    <row r="174" spans="1:15" x14ac:dyDescent="0.3">
      <c r="A174" t="s">
        <v>40</v>
      </c>
      <c r="B174" t="s">
        <v>113</v>
      </c>
      <c r="C174" t="s">
        <v>167</v>
      </c>
      <c r="D174" t="s">
        <v>291</v>
      </c>
      <c r="E174" t="s">
        <v>524</v>
      </c>
      <c r="F174">
        <v>1.92</v>
      </c>
      <c r="G174">
        <v>4.8</v>
      </c>
      <c r="H174">
        <v>3.6</v>
      </c>
      <c r="I174">
        <v>2.2599999999999998</v>
      </c>
      <c r="J174" t="s">
        <v>670</v>
      </c>
      <c r="K174">
        <v>2</v>
      </c>
      <c r="L174">
        <v>1</v>
      </c>
      <c r="M174">
        <v>1</v>
      </c>
      <c r="N174">
        <f t="shared" si="4"/>
        <v>1.1780999999999999</v>
      </c>
      <c r="O174">
        <f t="shared" si="5"/>
        <v>3</v>
      </c>
    </row>
    <row r="175" spans="1:15" x14ac:dyDescent="0.3">
      <c r="A175" t="s">
        <v>41</v>
      </c>
      <c r="B175" t="s">
        <v>99</v>
      </c>
      <c r="C175" t="s">
        <v>163</v>
      </c>
      <c r="D175" t="s">
        <v>292</v>
      </c>
      <c r="E175" t="s">
        <v>312</v>
      </c>
      <c r="F175">
        <v>1.83</v>
      </c>
      <c r="G175">
        <v>5.0999999999999996</v>
      </c>
      <c r="H175">
        <v>3.75</v>
      </c>
      <c r="I175">
        <v>2.14</v>
      </c>
      <c r="J175" t="s">
        <v>670</v>
      </c>
      <c r="K175">
        <v>1</v>
      </c>
      <c r="L175">
        <v>3</v>
      </c>
      <c r="M175">
        <v>1</v>
      </c>
      <c r="N175">
        <f t="shared" si="4"/>
        <v>1.0659000000000001</v>
      </c>
      <c r="O175">
        <f t="shared" si="5"/>
        <v>4</v>
      </c>
    </row>
    <row r="176" spans="1:15" x14ac:dyDescent="0.3">
      <c r="A176" t="s">
        <v>41</v>
      </c>
      <c r="B176" t="s">
        <v>104</v>
      </c>
      <c r="C176" t="s">
        <v>160</v>
      </c>
      <c r="D176" t="s">
        <v>293</v>
      </c>
      <c r="E176" t="s">
        <v>263</v>
      </c>
      <c r="F176">
        <v>2.04</v>
      </c>
      <c r="G176">
        <v>4.5</v>
      </c>
      <c r="H176">
        <v>3.45</v>
      </c>
      <c r="I176">
        <v>2.34</v>
      </c>
      <c r="J176" t="s">
        <v>670</v>
      </c>
      <c r="K176">
        <v>4</v>
      </c>
      <c r="L176">
        <v>1</v>
      </c>
      <c r="M176">
        <v>1</v>
      </c>
      <c r="N176">
        <f t="shared" si="4"/>
        <v>1.2528999999999999</v>
      </c>
      <c r="O176">
        <f t="shared" si="5"/>
        <v>5</v>
      </c>
    </row>
    <row r="177" spans="1:15" x14ac:dyDescent="0.3">
      <c r="A177" t="s">
        <v>41</v>
      </c>
      <c r="B177" t="s">
        <v>96</v>
      </c>
      <c r="C177" t="s">
        <v>149</v>
      </c>
      <c r="D177" t="s">
        <v>257</v>
      </c>
      <c r="E177" t="s">
        <v>525</v>
      </c>
      <c r="F177">
        <v>1.82</v>
      </c>
      <c r="G177">
        <v>4.9000000000000004</v>
      </c>
      <c r="H177">
        <v>3.3</v>
      </c>
      <c r="I177">
        <v>2.2799999999999998</v>
      </c>
      <c r="J177" t="s">
        <v>670</v>
      </c>
      <c r="K177">
        <v>4</v>
      </c>
      <c r="L177">
        <v>1</v>
      </c>
      <c r="M177">
        <v>1</v>
      </c>
      <c r="N177">
        <f t="shared" si="4"/>
        <v>1.1967999999999999</v>
      </c>
      <c r="O177">
        <f t="shared" si="5"/>
        <v>5</v>
      </c>
    </row>
    <row r="178" spans="1:15" x14ac:dyDescent="0.3">
      <c r="A178" t="s">
        <v>41</v>
      </c>
      <c r="B178" t="s">
        <v>114</v>
      </c>
      <c r="C178" t="s">
        <v>178</v>
      </c>
      <c r="D178" t="s">
        <v>294</v>
      </c>
      <c r="E178" t="s">
        <v>526</v>
      </c>
      <c r="F178">
        <v>2.04</v>
      </c>
      <c r="G178">
        <v>4.3</v>
      </c>
      <c r="H178">
        <v>3.4</v>
      </c>
      <c r="I178">
        <v>2.34</v>
      </c>
      <c r="J178" t="s">
        <v>670</v>
      </c>
      <c r="K178">
        <v>0</v>
      </c>
      <c r="L178">
        <v>5</v>
      </c>
      <c r="M178">
        <v>1</v>
      </c>
      <c r="N178">
        <f t="shared" si="4"/>
        <v>1.2528999999999999</v>
      </c>
      <c r="O178">
        <f t="shared" si="5"/>
        <v>5</v>
      </c>
    </row>
    <row r="179" spans="1:15" x14ac:dyDescent="0.3">
      <c r="A179" t="s">
        <v>41</v>
      </c>
      <c r="B179" t="s">
        <v>108</v>
      </c>
      <c r="C179" t="s">
        <v>145</v>
      </c>
      <c r="D179" t="s">
        <v>295</v>
      </c>
      <c r="E179" t="s">
        <v>236</v>
      </c>
      <c r="F179">
        <v>1.65</v>
      </c>
      <c r="G179">
        <v>6</v>
      </c>
      <c r="H179">
        <v>3.85</v>
      </c>
      <c r="I179">
        <v>2.04</v>
      </c>
      <c r="J179" t="s">
        <v>670</v>
      </c>
      <c r="K179">
        <v>3</v>
      </c>
      <c r="L179">
        <v>2</v>
      </c>
      <c r="M179">
        <v>1</v>
      </c>
      <c r="N179">
        <f t="shared" si="4"/>
        <v>0.97240000000000004</v>
      </c>
      <c r="O179">
        <f t="shared" si="5"/>
        <v>5</v>
      </c>
    </row>
    <row r="180" spans="1:15" x14ac:dyDescent="0.3">
      <c r="A180" t="s">
        <v>41</v>
      </c>
      <c r="B180" t="s">
        <v>98</v>
      </c>
      <c r="C180" t="s">
        <v>153</v>
      </c>
      <c r="D180" t="s">
        <v>247</v>
      </c>
      <c r="E180" t="s">
        <v>527</v>
      </c>
      <c r="F180">
        <v>1.84</v>
      </c>
      <c r="G180">
        <v>5.3</v>
      </c>
      <c r="H180">
        <v>3.5</v>
      </c>
      <c r="I180">
        <v>2.2599999999999998</v>
      </c>
      <c r="J180" t="s">
        <v>670</v>
      </c>
      <c r="K180">
        <v>2</v>
      </c>
      <c r="L180">
        <v>1</v>
      </c>
      <c r="M180">
        <v>1</v>
      </c>
      <c r="N180">
        <f t="shared" si="4"/>
        <v>1.1780999999999999</v>
      </c>
      <c r="O180">
        <f t="shared" si="5"/>
        <v>3</v>
      </c>
    </row>
    <row r="181" spans="1:15" x14ac:dyDescent="0.3">
      <c r="A181" t="s">
        <v>41</v>
      </c>
      <c r="B181" t="s">
        <v>98</v>
      </c>
      <c r="C181" t="s">
        <v>168</v>
      </c>
      <c r="D181" t="s">
        <v>296</v>
      </c>
      <c r="E181" t="s">
        <v>528</v>
      </c>
      <c r="F181">
        <v>2.76</v>
      </c>
      <c r="G181">
        <v>3.65</v>
      </c>
      <c r="H181">
        <v>2.7</v>
      </c>
      <c r="I181">
        <v>3.4</v>
      </c>
      <c r="J181" t="s">
        <v>670</v>
      </c>
      <c r="K181">
        <v>1</v>
      </c>
      <c r="L181">
        <v>1</v>
      </c>
      <c r="M181">
        <v>0</v>
      </c>
      <c r="N181">
        <f t="shared" si="4"/>
        <v>-1</v>
      </c>
      <c r="O181">
        <f t="shared" si="5"/>
        <v>2</v>
      </c>
    </row>
    <row r="182" spans="1:15" x14ac:dyDescent="0.3">
      <c r="A182" t="s">
        <v>41</v>
      </c>
      <c r="B182" t="s">
        <v>115</v>
      </c>
      <c r="C182" t="s">
        <v>149</v>
      </c>
      <c r="D182" t="s">
        <v>297</v>
      </c>
      <c r="E182" t="s">
        <v>529</v>
      </c>
      <c r="F182">
        <v>1.97</v>
      </c>
      <c r="G182">
        <v>4.4000000000000004</v>
      </c>
      <c r="H182">
        <v>3.3</v>
      </c>
      <c r="I182">
        <v>2.2999999999999998</v>
      </c>
      <c r="J182" t="s">
        <v>670</v>
      </c>
      <c r="K182">
        <v>1</v>
      </c>
      <c r="L182">
        <v>0</v>
      </c>
      <c r="M182">
        <v>0</v>
      </c>
      <c r="N182">
        <f t="shared" si="4"/>
        <v>-1</v>
      </c>
      <c r="O182">
        <f t="shared" si="5"/>
        <v>1</v>
      </c>
    </row>
    <row r="183" spans="1:15" x14ac:dyDescent="0.3">
      <c r="A183" t="s">
        <v>41</v>
      </c>
      <c r="B183" t="s">
        <v>89</v>
      </c>
      <c r="C183" t="s">
        <v>164</v>
      </c>
      <c r="D183" t="s">
        <v>298</v>
      </c>
      <c r="E183" t="s">
        <v>530</v>
      </c>
      <c r="F183">
        <v>2.5</v>
      </c>
      <c r="G183">
        <v>3.3</v>
      </c>
      <c r="H183">
        <v>2.72</v>
      </c>
      <c r="I183">
        <v>2.96</v>
      </c>
      <c r="J183" t="s">
        <v>670</v>
      </c>
      <c r="K183">
        <v>4</v>
      </c>
      <c r="L183">
        <v>5</v>
      </c>
      <c r="M183">
        <v>1</v>
      </c>
      <c r="N183">
        <f t="shared" si="4"/>
        <v>1.8326</v>
      </c>
      <c r="O183">
        <f t="shared" si="5"/>
        <v>9</v>
      </c>
    </row>
    <row r="184" spans="1:15" x14ac:dyDescent="0.3">
      <c r="A184" t="s">
        <v>42</v>
      </c>
      <c r="B184" t="s">
        <v>116</v>
      </c>
      <c r="C184" t="s">
        <v>179</v>
      </c>
      <c r="D184" t="s">
        <v>299</v>
      </c>
      <c r="E184" t="s">
        <v>531</v>
      </c>
      <c r="F184">
        <v>1.95</v>
      </c>
      <c r="G184">
        <v>4.5</v>
      </c>
      <c r="H184">
        <v>3.25</v>
      </c>
      <c r="I184">
        <v>2.2599999999999998</v>
      </c>
      <c r="J184" t="s">
        <v>670</v>
      </c>
      <c r="K184">
        <v>2</v>
      </c>
      <c r="L184">
        <v>0</v>
      </c>
      <c r="M184">
        <v>0</v>
      </c>
      <c r="N184">
        <f t="shared" si="4"/>
        <v>-1</v>
      </c>
      <c r="O184">
        <f t="shared" si="5"/>
        <v>2</v>
      </c>
    </row>
    <row r="185" spans="1:15" x14ac:dyDescent="0.3">
      <c r="A185" t="s">
        <v>42</v>
      </c>
      <c r="B185" t="s">
        <v>104</v>
      </c>
      <c r="C185" t="s">
        <v>159</v>
      </c>
      <c r="D185" t="s">
        <v>300</v>
      </c>
      <c r="E185" t="s">
        <v>462</v>
      </c>
      <c r="F185">
        <v>1.96</v>
      </c>
      <c r="G185">
        <v>4.5</v>
      </c>
      <c r="H185">
        <v>3.5</v>
      </c>
      <c r="I185">
        <v>2.2400000000000002</v>
      </c>
      <c r="J185" t="s">
        <v>670</v>
      </c>
      <c r="K185">
        <v>1</v>
      </c>
      <c r="L185">
        <v>3</v>
      </c>
      <c r="M185">
        <v>1</v>
      </c>
      <c r="N185">
        <f t="shared" si="4"/>
        <v>1.1594000000000002</v>
      </c>
      <c r="O185">
        <f t="shared" si="5"/>
        <v>4</v>
      </c>
    </row>
    <row r="186" spans="1:15" x14ac:dyDescent="0.3">
      <c r="A186" t="s">
        <v>42</v>
      </c>
      <c r="B186" t="s">
        <v>108</v>
      </c>
      <c r="C186" t="s">
        <v>180</v>
      </c>
      <c r="D186" t="s">
        <v>301</v>
      </c>
      <c r="E186" t="s">
        <v>532</v>
      </c>
      <c r="F186">
        <v>1.9</v>
      </c>
      <c r="G186">
        <v>4.9000000000000004</v>
      </c>
      <c r="H186">
        <v>3.6</v>
      </c>
      <c r="I186">
        <v>2.3199999999999998</v>
      </c>
      <c r="J186" t="s">
        <v>670</v>
      </c>
      <c r="K186">
        <v>1</v>
      </c>
      <c r="L186">
        <v>1</v>
      </c>
      <c r="M186">
        <v>0</v>
      </c>
      <c r="N186">
        <f t="shared" si="4"/>
        <v>-1</v>
      </c>
      <c r="O186">
        <f t="shared" si="5"/>
        <v>2</v>
      </c>
    </row>
    <row r="187" spans="1:15" x14ac:dyDescent="0.3">
      <c r="A187" t="s">
        <v>42</v>
      </c>
      <c r="B187" t="s">
        <v>108</v>
      </c>
      <c r="C187" t="s">
        <v>165</v>
      </c>
      <c r="D187" t="s">
        <v>302</v>
      </c>
      <c r="E187" t="s">
        <v>533</v>
      </c>
      <c r="F187">
        <v>1.78</v>
      </c>
      <c r="G187">
        <v>5.7</v>
      </c>
      <c r="H187">
        <v>3.65</v>
      </c>
      <c r="I187">
        <v>2.14</v>
      </c>
      <c r="J187" t="s">
        <v>670</v>
      </c>
      <c r="K187">
        <v>2</v>
      </c>
      <c r="L187">
        <v>2</v>
      </c>
      <c r="M187">
        <v>1</v>
      </c>
      <c r="N187">
        <f t="shared" si="4"/>
        <v>1.0659000000000001</v>
      </c>
      <c r="O187">
        <f t="shared" si="5"/>
        <v>4</v>
      </c>
    </row>
    <row r="188" spans="1:15" x14ac:dyDescent="0.3">
      <c r="A188" t="s">
        <v>42</v>
      </c>
      <c r="B188" t="s">
        <v>89</v>
      </c>
      <c r="C188" t="s">
        <v>181</v>
      </c>
      <c r="D188" t="s">
        <v>303</v>
      </c>
      <c r="E188" t="s">
        <v>534</v>
      </c>
      <c r="F188">
        <v>2.1</v>
      </c>
      <c r="G188">
        <v>4.4000000000000004</v>
      </c>
      <c r="H188">
        <v>3.1</v>
      </c>
      <c r="I188">
        <v>2.48</v>
      </c>
      <c r="J188" t="s">
        <v>670</v>
      </c>
      <c r="K188">
        <v>0</v>
      </c>
      <c r="L188">
        <v>0</v>
      </c>
      <c r="M188">
        <v>0</v>
      </c>
      <c r="N188">
        <f t="shared" si="4"/>
        <v>-1</v>
      </c>
      <c r="O188">
        <f t="shared" si="5"/>
        <v>0</v>
      </c>
    </row>
    <row r="189" spans="1:15" x14ac:dyDescent="0.3">
      <c r="A189" t="s">
        <v>42</v>
      </c>
      <c r="B189" t="s">
        <v>89</v>
      </c>
      <c r="C189" t="s">
        <v>159</v>
      </c>
      <c r="D189" t="s">
        <v>254</v>
      </c>
      <c r="E189" t="s">
        <v>460</v>
      </c>
      <c r="F189">
        <v>1.78</v>
      </c>
      <c r="G189">
        <v>5.6</v>
      </c>
      <c r="H189">
        <v>3.65</v>
      </c>
      <c r="I189">
        <v>2.14</v>
      </c>
      <c r="J189" t="s">
        <v>670</v>
      </c>
      <c r="K189">
        <v>2</v>
      </c>
      <c r="L189">
        <v>2</v>
      </c>
      <c r="M189">
        <v>1</v>
      </c>
      <c r="N189">
        <f t="shared" si="4"/>
        <v>1.0659000000000001</v>
      </c>
      <c r="O189">
        <f t="shared" si="5"/>
        <v>4</v>
      </c>
    </row>
    <row r="190" spans="1:15" x14ac:dyDescent="0.3">
      <c r="A190" t="s">
        <v>43</v>
      </c>
      <c r="B190" t="s">
        <v>97</v>
      </c>
      <c r="C190" t="s">
        <v>168</v>
      </c>
      <c r="D190" t="s">
        <v>252</v>
      </c>
      <c r="E190" t="s">
        <v>535</v>
      </c>
      <c r="F190">
        <v>2.2400000000000002</v>
      </c>
      <c r="G190">
        <v>4.3</v>
      </c>
      <c r="H190">
        <v>3.05</v>
      </c>
      <c r="I190">
        <v>2.76</v>
      </c>
      <c r="J190" t="s">
        <v>670</v>
      </c>
      <c r="K190">
        <v>0</v>
      </c>
      <c r="L190">
        <v>0</v>
      </c>
      <c r="M190">
        <v>0</v>
      </c>
      <c r="N190">
        <f t="shared" si="4"/>
        <v>-1</v>
      </c>
      <c r="O190">
        <f t="shared" si="5"/>
        <v>0</v>
      </c>
    </row>
    <row r="191" spans="1:15" x14ac:dyDescent="0.3">
      <c r="A191" t="s">
        <v>43</v>
      </c>
      <c r="B191" t="s">
        <v>117</v>
      </c>
      <c r="C191" t="s">
        <v>182</v>
      </c>
      <c r="D191" t="s">
        <v>304</v>
      </c>
      <c r="E191" t="s">
        <v>536</v>
      </c>
      <c r="F191">
        <v>1.55</v>
      </c>
      <c r="G191">
        <v>7</v>
      </c>
      <c r="H191">
        <v>4.0999999999999996</v>
      </c>
      <c r="I191">
        <v>1.94</v>
      </c>
      <c r="J191" t="s">
        <v>670</v>
      </c>
      <c r="K191">
        <v>1</v>
      </c>
      <c r="L191">
        <v>2</v>
      </c>
      <c r="M191">
        <v>1</v>
      </c>
      <c r="N191">
        <f t="shared" si="4"/>
        <v>0.87890000000000001</v>
      </c>
      <c r="O191">
        <f t="shared" si="5"/>
        <v>3</v>
      </c>
    </row>
    <row r="192" spans="1:15" x14ac:dyDescent="0.3">
      <c r="A192" t="s">
        <v>43</v>
      </c>
      <c r="B192" t="s">
        <v>89</v>
      </c>
      <c r="C192" t="s">
        <v>183</v>
      </c>
      <c r="D192" t="s">
        <v>305</v>
      </c>
      <c r="E192" t="s">
        <v>537</v>
      </c>
      <c r="F192">
        <v>2.1</v>
      </c>
      <c r="G192">
        <v>3.95</v>
      </c>
      <c r="H192">
        <v>3.05</v>
      </c>
      <c r="I192">
        <v>2.5</v>
      </c>
      <c r="J192" t="s">
        <v>670</v>
      </c>
      <c r="K192">
        <v>0</v>
      </c>
      <c r="L192">
        <v>0</v>
      </c>
      <c r="M192">
        <v>0</v>
      </c>
      <c r="N192">
        <f t="shared" si="4"/>
        <v>-1</v>
      </c>
      <c r="O192">
        <f t="shared" si="5"/>
        <v>0</v>
      </c>
    </row>
    <row r="193" spans="1:15" x14ac:dyDescent="0.3">
      <c r="A193" t="s">
        <v>44</v>
      </c>
      <c r="B193" t="s">
        <v>115</v>
      </c>
      <c r="C193" t="s">
        <v>180</v>
      </c>
      <c r="D193" t="s">
        <v>306</v>
      </c>
      <c r="E193" t="s">
        <v>532</v>
      </c>
      <c r="F193">
        <v>1.88</v>
      </c>
      <c r="G193">
        <v>4.9000000000000004</v>
      </c>
      <c r="H193">
        <v>3.75</v>
      </c>
      <c r="I193">
        <v>2.2799999999999998</v>
      </c>
      <c r="J193" t="s">
        <v>670</v>
      </c>
      <c r="K193">
        <v>3</v>
      </c>
      <c r="L193">
        <v>0</v>
      </c>
      <c r="M193">
        <v>1</v>
      </c>
      <c r="N193">
        <f t="shared" si="4"/>
        <v>1.1967999999999999</v>
      </c>
      <c r="O193">
        <f t="shared" si="5"/>
        <v>3</v>
      </c>
    </row>
    <row r="194" spans="1:15" x14ac:dyDescent="0.3">
      <c r="A194" t="s">
        <v>44</v>
      </c>
      <c r="B194" t="s">
        <v>115</v>
      </c>
      <c r="C194" t="s">
        <v>180</v>
      </c>
      <c r="D194" t="s">
        <v>307</v>
      </c>
      <c r="E194" t="s">
        <v>538</v>
      </c>
      <c r="F194">
        <v>1.86</v>
      </c>
      <c r="G194">
        <v>5.2</v>
      </c>
      <c r="H194">
        <v>3.65</v>
      </c>
      <c r="I194">
        <v>2.16</v>
      </c>
      <c r="J194" t="s">
        <v>670</v>
      </c>
      <c r="K194">
        <v>1</v>
      </c>
      <c r="L194">
        <v>1</v>
      </c>
      <c r="M194">
        <v>0</v>
      </c>
      <c r="N194">
        <f t="shared" si="4"/>
        <v>-1</v>
      </c>
      <c r="O194">
        <f t="shared" si="5"/>
        <v>2</v>
      </c>
    </row>
    <row r="195" spans="1:15" x14ac:dyDescent="0.3">
      <c r="A195" t="s">
        <v>45</v>
      </c>
      <c r="B195" t="s">
        <v>100</v>
      </c>
      <c r="C195" t="s">
        <v>155</v>
      </c>
      <c r="D195" t="s">
        <v>308</v>
      </c>
      <c r="E195" t="s">
        <v>539</v>
      </c>
      <c r="F195">
        <v>2.12</v>
      </c>
      <c r="G195">
        <v>3.9</v>
      </c>
      <c r="H195">
        <v>2.82</v>
      </c>
      <c r="I195">
        <v>2.62</v>
      </c>
      <c r="J195" t="s">
        <v>670</v>
      </c>
      <c r="K195">
        <v>0</v>
      </c>
      <c r="L195">
        <v>1</v>
      </c>
      <c r="M195">
        <v>0</v>
      </c>
      <c r="N195">
        <f t="shared" ref="N195:N258" si="6">IF(M195=1,0.935*(I195-1),-1)</f>
        <v>-1</v>
      </c>
      <c r="O195">
        <f t="shared" ref="O195:O258" si="7">K195+L195</f>
        <v>1</v>
      </c>
    </row>
    <row r="196" spans="1:15" x14ac:dyDescent="0.3">
      <c r="A196" t="s">
        <v>45</v>
      </c>
      <c r="B196" t="s">
        <v>108</v>
      </c>
      <c r="C196" t="s">
        <v>172</v>
      </c>
      <c r="D196" t="s">
        <v>309</v>
      </c>
      <c r="E196" t="s">
        <v>540</v>
      </c>
      <c r="F196">
        <v>2.4</v>
      </c>
      <c r="G196">
        <v>3.6</v>
      </c>
      <c r="H196">
        <v>2.72</v>
      </c>
      <c r="I196">
        <v>2.9</v>
      </c>
      <c r="J196" t="s">
        <v>670</v>
      </c>
      <c r="K196">
        <v>2</v>
      </c>
      <c r="L196">
        <v>0</v>
      </c>
      <c r="M196">
        <v>0</v>
      </c>
      <c r="N196">
        <f t="shared" si="6"/>
        <v>-1</v>
      </c>
      <c r="O196">
        <f t="shared" si="7"/>
        <v>2</v>
      </c>
    </row>
    <row r="197" spans="1:15" x14ac:dyDescent="0.3">
      <c r="A197" t="s">
        <v>45</v>
      </c>
      <c r="B197" t="s">
        <v>115</v>
      </c>
      <c r="C197" t="s">
        <v>184</v>
      </c>
      <c r="D197" t="s">
        <v>310</v>
      </c>
      <c r="E197" t="s">
        <v>473</v>
      </c>
      <c r="F197">
        <v>1.91</v>
      </c>
      <c r="G197">
        <v>4.7</v>
      </c>
      <c r="H197">
        <v>3.65</v>
      </c>
      <c r="I197">
        <v>2.2599999999999998</v>
      </c>
      <c r="J197" t="s">
        <v>670</v>
      </c>
      <c r="K197">
        <v>0</v>
      </c>
      <c r="L197">
        <v>1</v>
      </c>
      <c r="M197">
        <v>0</v>
      </c>
      <c r="N197">
        <f t="shared" si="6"/>
        <v>-1</v>
      </c>
      <c r="O197">
        <f t="shared" si="7"/>
        <v>1</v>
      </c>
    </row>
    <row r="198" spans="1:15" x14ac:dyDescent="0.3">
      <c r="A198" t="s">
        <v>46</v>
      </c>
      <c r="B198" t="s">
        <v>104</v>
      </c>
      <c r="C198" t="s">
        <v>164</v>
      </c>
      <c r="D198" t="s">
        <v>311</v>
      </c>
      <c r="E198" t="s">
        <v>541</v>
      </c>
      <c r="F198">
        <v>2.06</v>
      </c>
      <c r="G198">
        <v>4.0999999999999996</v>
      </c>
      <c r="H198">
        <v>3.15</v>
      </c>
      <c r="I198">
        <v>2.56</v>
      </c>
      <c r="J198" t="s">
        <v>670</v>
      </c>
      <c r="K198">
        <v>0</v>
      </c>
      <c r="L198">
        <v>0</v>
      </c>
      <c r="M198">
        <v>0</v>
      </c>
      <c r="N198">
        <f t="shared" si="6"/>
        <v>-1</v>
      </c>
      <c r="O198">
        <f t="shared" si="7"/>
        <v>0</v>
      </c>
    </row>
    <row r="199" spans="1:15" x14ac:dyDescent="0.3">
      <c r="A199" t="s">
        <v>46</v>
      </c>
      <c r="B199" t="s">
        <v>93</v>
      </c>
      <c r="C199" t="s">
        <v>163</v>
      </c>
      <c r="D199" t="s">
        <v>312</v>
      </c>
      <c r="E199" t="s">
        <v>542</v>
      </c>
      <c r="F199">
        <v>1.96</v>
      </c>
      <c r="G199">
        <v>5</v>
      </c>
      <c r="H199">
        <v>3.4</v>
      </c>
      <c r="I199">
        <v>2.4</v>
      </c>
      <c r="J199" t="s">
        <v>670</v>
      </c>
      <c r="K199">
        <v>2</v>
      </c>
      <c r="L199">
        <v>2</v>
      </c>
      <c r="M199">
        <v>1</v>
      </c>
      <c r="N199">
        <f t="shared" si="6"/>
        <v>1.3089999999999999</v>
      </c>
      <c r="O199">
        <f t="shared" si="7"/>
        <v>4</v>
      </c>
    </row>
    <row r="200" spans="1:15" x14ac:dyDescent="0.3">
      <c r="A200" t="s">
        <v>46</v>
      </c>
      <c r="B200" t="s">
        <v>118</v>
      </c>
      <c r="C200" t="s">
        <v>160</v>
      </c>
      <c r="D200" t="s">
        <v>313</v>
      </c>
      <c r="E200" t="s">
        <v>506</v>
      </c>
      <c r="F200">
        <v>1.5</v>
      </c>
      <c r="G200">
        <v>8.1999999999999993</v>
      </c>
      <c r="H200">
        <v>4.7</v>
      </c>
      <c r="I200">
        <v>1.86</v>
      </c>
      <c r="J200" t="s">
        <v>670</v>
      </c>
      <c r="K200">
        <v>3</v>
      </c>
      <c r="L200">
        <v>1</v>
      </c>
      <c r="M200">
        <v>1</v>
      </c>
      <c r="N200">
        <f t="shared" si="6"/>
        <v>0.80410000000000015</v>
      </c>
      <c r="O200">
        <f t="shared" si="7"/>
        <v>4</v>
      </c>
    </row>
    <row r="201" spans="1:15" x14ac:dyDescent="0.3">
      <c r="A201" t="s">
        <v>46</v>
      </c>
      <c r="B201" t="s">
        <v>119</v>
      </c>
      <c r="C201" t="s">
        <v>152</v>
      </c>
      <c r="D201" t="s">
        <v>279</v>
      </c>
      <c r="E201" t="s">
        <v>543</v>
      </c>
      <c r="F201">
        <v>1.68</v>
      </c>
      <c r="G201">
        <v>6.4</v>
      </c>
      <c r="H201">
        <v>3.95</v>
      </c>
      <c r="I201">
        <v>2</v>
      </c>
      <c r="J201" t="s">
        <v>670</v>
      </c>
      <c r="K201">
        <v>2</v>
      </c>
      <c r="L201">
        <v>2</v>
      </c>
      <c r="M201">
        <v>1</v>
      </c>
      <c r="N201">
        <f t="shared" si="6"/>
        <v>0.93500000000000005</v>
      </c>
      <c r="O201">
        <f t="shared" si="7"/>
        <v>4</v>
      </c>
    </row>
    <row r="202" spans="1:15" x14ac:dyDescent="0.3">
      <c r="A202" t="s">
        <v>46</v>
      </c>
      <c r="B202" t="s">
        <v>102</v>
      </c>
      <c r="C202" t="s">
        <v>159</v>
      </c>
      <c r="D202" t="s">
        <v>314</v>
      </c>
      <c r="E202" t="s">
        <v>254</v>
      </c>
      <c r="F202">
        <v>2.12</v>
      </c>
      <c r="G202">
        <v>4.3</v>
      </c>
      <c r="H202">
        <v>3.2</v>
      </c>
      <c r="I202">
        <v>2.48</v>
      </c>
      <c r="J202" t="s">
        <v>670</v>
      </c>
      <c r="K202">
        <v>1</v>
      </c>
      <c r="L202">
        <v>1</v>
      </c>
      <c r="M202">
        <v>0</v>
      </c>
      <c r="N202">
        <f t="shared" si="6"/>
        <v>-1</v>
      </c>
      <c r="O202">
        <f t="shared" si="7"/>
        <v>2</v>
      </c>
    </row>
    <row r="203" spans="1:15" x14ac:dyDescent="0.3">
      <c r="A203" t="s">
        <v>46</v>
      </c>
      <c r="B203" t="s">
        <v>102</v>
      </c>
      <c r="C203" t="s">
        <v>159</v>
      </c>
      <c r="D203" t="s">
        <v>315</v>
      </c>
      <c r="E203" t="s">
        <v>544</v>
      </c>
      <c r="F203">
        <v>2.82</v>
      </c>
      <c r="G203">
        <v>3.3</v>
      </c>
      <c r="H203">
        <v>2.84</v>
      </c>
      <c r="I203">
        <v>3.35</v>
      </c>
      <c r="J203" t="s">
        <v>670</v>
      </c>
      <c r="K203">
        <v>1</v>
      </c>
      <c r="L203">
        <v>0</v>
      </c>
      <c r="M203">
        <v>0</v>
      </c>
      <c r="N203">
        <f t="shared" si="6"/>
        <v>-1</v>
      </c>
      <c r="O203">
        <f t="shared" si="7"/>
        <v>1</v>
      </c>
    </row>
    <row r="204" spans="1:15" x14ac:dyDescent="0.3">
      <c r="A204" t="s">
        <v>46</v>
      </c>
      <c r="B204" t="s">
        <v>101</v>
      </c>
      <c r="C204" t="s">
        <v>185</v>
      </c>
      <c r="D204" t="s">
        <v>316</v>
      </c>
      <c r="E204" t="s">
        <v>545</v>
      </c>
      <c r="F204">
        <v>1.81</v>
      </c>
      <c r="G204">
        <v>5.5</v>
      </c>
      <c r="H204">
        <v>3.3</v>
      </c>
      <c r="I204">
        <v>2.2000000000000002</v>
      </c>
      <c r="J204" t="s">
        <v>670</v>
      </c>
      <c r="K204">
        <v>4</v>
      </c>
      <c r="L204">
        <v>0</v>
      </c>
      <c r="M204">
        <v>1</v>
      </c>
      <c r="N204">
        <f t="shared" si="6"/>
        <v>1.1220000000000003</v>
      </c>
      <c r="O204">
        <f t="shared" si="7"/>
        <v>4</v>
      </c>
    </row>
    <row r="205" spans="1:15" x14ac:dyDescent="0.3">
      <c r="A205" t="s">
        <v>46</v>
      </c>
      <c r="B205" t="s">
        <v>120</v>
      </c>
      <c r="C205" t="s">
        <v>185</v>
      </c>
      <c r="D205" t="s">
        <v>317</v>
      </c>
      <c r="E205" t="s">
        <v>546</v>
      </c>
      <c r="F205">
        <v>2.06</v>
      </c>
      <c r="G205">
        <v>4.5999999999999996</v>
      </c>
      <c r="H205">
        <v>3</v>
      </c>
      <c r="I205">
        <v>2.5</v>
      </c>
      <c r="J205" t="s">
        <v>670</v>
      </c>
      <c r="K205">
        <v>1</v>
      </c>
      <c r="L205">
        <v>1</v>
      </c>
      <c r="M205">
        <v>0</v>
      </c>
      <c r="N205">
        <f t="shared" si="6"/>
        <v>-1</v>
      </c>
      <c r="O205">
        <f t="shared" si="7"/>
        <v>2</v>
      </c>
    </row>
    <row r="206" spans="1:15" x14ac:dyDescent="0.3">
      <c r="A206" t="s">
        <v>47</v>
      </c>
      <c r="B206" t="s">
        <v>116</v>
      </c>
      <c r="C206" t="s">
        <v>164</v>
      </c>
      <c r="D206" t="s">
        <v>261</v>
      </c>
      <c r="E206" t="s">
        <v>547</v>
      </c>
      <c r="F206">
        <v>2.2599999999999998</v>
      </c>
      <c r="G206">
        <v>3.5</v>
      </c>
      <c r="H206">
        <v>3.05</v>
      </c>
      <c r="I206">
        <v>2.66</v>
      </c>
      <c r="J206" t="s">
        <v>670</v>
      </c>
      <c r="K206">
        <v>0</v>
      </c>
      <c r="L206">
        <v>1</v>
      </c>
      <c r="M206">
        <v>0</v>
      </c>
      <c r="N206">
        <f t="shared" si="6"/>
        <v>-1</v>
      </c>
      <c r="O206">
        <f t="shared" si="7"/>
        <v>1</v>
      </c>
    </row>
    <row r="207" spans="1:15" x14ac:dyDescent="0.3">
      <c r="A207" t="s">
        <v>47</v>
      </c>
      <c r="B207" t="s">
        <v>96</v>
      </c>
      <c r="C207" t="s">
        <v>149</v>
      </c>
      <c r="D207" t="s">
        <v>318</v>
      </c>
      <c r="E207" t="s">
        <v>548</v>
      </c>
      <c r="F207">
        <v>2</v>
      </c>
      <c r="G207">
        <v>4.2</v>
      </c>
      <c r="H207">
        <v>3.2</v>
      </c>
      <c r="I207">
        <v>2.38</v>
      </c>
      <c r="J207" t="s">
        <v>670</v>
      </c>
      <c r="K207">
        <v>1</v>
      </c>
      <c r="L207">
        <v>1</v>
      </c>
      <c r="M207">
        <v>0</v>
      </c>
      <c r="N207">
        <f t="shared" si="6"/>
        <v>-1</v>
      </c>
      <c r="O207">
        <f t="shared" si="7"/>
        <v>2</v>
      </c>
    </row>
    <row r="208" spans="1:15" x14ac:dyDescent="0.3">
      <c r="A208" t="s">
        <v>47</v>
      </c>
      <c r="B208" t="s">
        <v>96</v>
      </c>
      <c r="C208" t="s">
        <v>149</v>
      </c>
      <c r="D208" t="s">
        <v>319</v>
      </c>
      <c r="E208" t="s">
        <v>549</v>
      </c>
      <c r="F208">
        <v>1.95</v>
      </c>
      <c r="G208">
        <v>4.4000000000000004</v>
      </c>
      <c r="H208">
        <v>3.2</v>
      </c>
      <c r="I208">
        <v>2.34</v>
      </c>
      <c r="J208" t="s">
        <v>670</v>
      </c>
      <c r="K208">
        <v>1</v>
      </c>
      <c r="L208">
        <v>1</v>
      </c>
      <c r="M208">
        <v>0</v>
      </c>
      <c r="N208">
        <f t="shared" si="6"/>
        <v>-1</v>
      </c>
      <c r="O208">
        <f t="shared" si="7"/>
        <v>2</v>
      </c>
    </row>
    <row r="209" spans="1:15" x14ac:dyDescent="0.3">
      <c r="A209" t="s">
        <v>47</v>
      </c>
      <c r="B209" t="s">
        <v>93</v>
      </c>
      <c r="C209" t="s">
        <v>186</v>
      </c>
      <c r="D209" t="s">
        <v>320</v>
      </c>
      <c r="E209" t="s">
        <v>550</v>
      </c>
      <c r="F209">
        <v>1.64</v>
      </c>
      <c r="G209">
        <v>6</v>
      </c>
      <c r="H209">
        <v>4.0999999999999996</v>
      </c>
      <c r="I209">
        <v>2</v>
      </c>
      <c r="J209" t="s">
        <v>670</v>
      </c>
      <c r="K209">
        <v>3</v>
      </c>
      <c r="L209">
        <v>1</v>
      </c>
      <c r="M209">
        <v>1</v>
      </c>
      <c r="N209">
        <f t="shared" si="6"/>
        <v>0.93500000000000005</v>
      </c>
      <c r="O209">
        <f t="shared" si="7"/>
        <v>4</v>
      </c>
    </row>
    <row r="210" spans="1:15" x14ac:dyDescent="0.3">
      <c r="A210" t="s">
        <v>47</v>
      </c>
      <c r="B210" t="s">
        <v>92</v>
      </c>
      <c r="C210" t="s">
        <v>163</v>
      </c>
      <c r="D210" t="s">
        <v>321</v>
      </c>
      <c r="E210" t="s">
        <v>397</v>
      </c>
      <c r="F210">
        <v>1.82</v>
      </c>
      <c r="G210">
        <v>5.6</v>
      </c>
      <c r="H210">
        <v>3.6</v>
      </c>
      <c r="I210">
        <v>2.2400000000000002</v>
      </c>
      <c r="J210" t="s">
        <v>670</v>
      </c>
      <c r="K210">
        <v>2</v>
      </c>
      <c r="L210">
        <v>2</v>
      </c>
      <c r="M210">
        <v>1</v>
      </c>
      <c r="N210">
        <f t="shared" si="6"/>
        <v>1.1594000000000002</v>
      </c>
      <c r="O210">
        <f t="shared" si="7"/>
        <v>4</v>
      </c>
    </row>
    <row r="211" spans="1:15" x14ac:dyDescent="0.3">
      <c r="A211" t="s">
        <v>48</v>
      </c>
      <c r="B211" t="s">
        <v>102</v>
      </c>
      <c r="C211" t="s">
        <v>163</v>
      </c>
      <c r="D211" t="s">
        <v>322</v>
      </c>
      <c r="E211" t="s">
        <v>513</v>
      </c>
      <c r="F211">
        <v>2.12</v>
      </c>
      <c r="G211">
        <v>4.5999999999999996</v>
      </c>
      <c r="H211">
        <v>3.1</v>
      </c>
      <c r="I211">
        <v>2.64</v>
      </c>
      <c r="J211" t="s">
        <v>670</v>
      </c>
      <c r="K211">
        <v>3</v>
      </c>
      <c r="L211">
        <v>1</v>
      </c>
      <c r="M211">
        <v>1</v>
      </c>
      <c r="N211">
        <f t="shared" si="6"/>
        <v>1.5334000000000001</v>
      </c>
      <c r="O211">
        <f t="shared" si="7"/>
        <v>4</v>
      </c>
    </row>
    <row r="212" spans="1:15" x14ac:dyDescent="0.3">
      <c r="A212" t="s">
        <v>49</v>
      </c>
      <c r="B212" t="s">
        <v>89</v>
      </c>
      <c r="C212" t="s">
        <v>187</v>
      </c>
      <c r="D212" t="s">
        <v>323</v>
      </c>
      <c r="E212" t="s">
        <v>269</v>
      </c>
      <c r="F212">
        <v>1.83</v>
      </c>
      <c r="G212">
        <v>5.3</v>
      </c>
      <c r="H212">
        <v>3.7</v>
      </c>
      <c r="I212">
        <v>2.2799999999999998</v>
      </c>
      <c r="J212" t="s">
        <v>670</v>
      </c>
      <c r="K212">
        <v>2</v>
      </c>
      <c r="L212">
        <v>2</v>
      </c>
      <c r="M212">
        <v>1</v>
      </c>
      <c r="N212">
        <f t="shared" si="6"/>
        <v>1.1967999999999999</v>
      </c>
      <c r="O212">
        <f t="shared" si="7"/>
        <v>4</v>
      </c>
    </row>
    <row r="213" spans="1:15" x14ac:dyDescent="0.3">
      <c r="A213" t="s">
        <v>49</v>
      </c>
      <c r="B213" t="s">
        <v>89</v>
      </c>
      <c r="C213" t="s">
        <v>188</v>
      </c>
      <c r="D213" t="s">
        <v>324</v>
      </c>
      <c r="E213" t="s">
        <v>280</v>
      </c>
      <c r="F213">
        <v>1.73</v>
      </c>
      <c r="G213">
        <v>6</v>
      </c>
      <c r="H213">
        <v>3.85</v>
      </c>
      <c r="I213">
        <v>2.16</v>
      </c>
      <c r="J213" t="s">
        <v>670</v>
      </c>
      <c r="K213">
        <v>2</v>
      </c>
      <c r="L213">
        <v>3</v>
      </c>
      <c r="M213">
        <v>1</v>
      </c>
      <c r="N213">
        <f t="shared" si="6"/>
        <v>1.0846000000000002</v>
      </c>
      <c r="O213">
        <f t="shared" si="7"/>
        <v>5</v>
      </c>
    </row>
    <row r="214" spans="1:15" x14ac:dyDescent="0.3">
      <c r="A214" t="s">
        <v>49</v>
      </c>
      <c r="B214" t="s">
        <v>90</v>
      </c>
      <c r="C214" t="s">
        <v>189</v>
      </c>
      <c r="D214" t="s">
        <v>325</v>
      </c>
      <c r="E214" t="s">
        <v>551</v>
      </c>
      <c r="F214">
        <v>1.93</v>
      </c>
      <c r="G214">
        <v>4.2</v>
      </c>
      <c r="H214">
        <v>2.9</v>
      </c>
      <c r="I214">
        <v>2.42</v>
      </c>
      <c r="J214" t="s">
        <v>670</v>
      </c>
      <c r="K214">
        <v>1</v>
      </c>
      <c r="L214">
        <v>2</v>
      </c>
      <c r="M214">
        <v>1</v>
      </c>
      <c r="N214">
        <f t="shared" si="6"/>
        <v>1.3277000000000001</v>
      </c>
      <c r="O214">
        <f t="shared" si="7"/>
        <v>3</v>
      </c>
    </row>
    <row r="215" spans="1:15" x14ac:dyDescent="0.3">
      <c r="A215" t="s">
        <v>49</v>
      </c>
      <c r="B215" t="s">
        <v>107</v>
      </c>
      <c r="C215" t="s">
        <v>147</v>
      </c>
      <c r="D215" t="s">
        <v>262</v>
      </c>
      <c r="E215" t="s">
        <v>238</v>
      </c>
      <c r="F215">
        <v>1.57</v>
      </c>
      <c r="G215">
        <v>6.4</v>
      </c>
      <c r="H215">
        <v>4.2</v>
      </c>
      <c r="I215">
        <v>1.93</v>
      </c>
      <c r="J215" t="s">
        <v>670</v>
      </c>
      <c r="K215">
        <v>2</v>
      </c>
      <c r="L215">
        <v>2</v>
      </c>
      <c r="M215">
        <v>1</v>
      </c>
      <c r="N215">
        <f t="shared" si="6"/>
        <v>0.86955000000000005</v>
      </c>
      <c r="O215">
        <f t="shared" si="7"/>
        <v>4</v>
      </c>
    </row>
    <row r="216" spans="1:15" x14ac:dyDescent="0.3">
      <c r="A216" t="s">
        <v>50</v>
      </c>
      <c r="B216" t="s">
        <v>113</v>
      </c>
      <c r="C216" t="s">
        <v>190</v>
      </c>
      <c r="D216" t="s">
        <v>326</v>
      </c>
      <c r="E216" t="s">
        <v>552</v>
      </c>
      <c r="F216">
        <v>2.2200000000000002</v>
      </c>
      <c r="G216">
        <v>3.95</v>
      </c>
      <c r="H216">
        <v>3.2</v>
      </c>
      <c r="I216">
        <v>2.56</v>
      </c>
      <c r="J216" t="s">
        <v>670</v>
      </c>
      <c r="K216">
        <v>1</v>
      </c>
      <c r="L216">
        <v>0</v>
      </c>
      <c r="M216">
        <v>0</v>
      </c>
      <c r="N216">
        <f t="shared" si="6"/>
        <v>-1</v>
      </c>
      <c r="O216">
        <f t="shared" si="7"/>
        <v>1</v>
      </c>
    </row>
    <row r="217" spans="1:15" x14ac:dyDescent="0.3">
      <c r="A217" t="s">
        <v>50</v>
      </c>
      <c r="B217" t="s">
        <v>90</v>
      </c>
      <c r="C217" t="s">
        <v>191</v>
      </c>
      <c r="D217" t="s">
        <v>327</v>
      </c>
      <c r="E217" t="s">
        <v>553</v>
      </c>
      <c r="F217">
        <v>2.36</v>
      </c>
      <c r="G217">
        <v>3.45</v>
      </c>
      <c r="H217">
        <v>2.78</v>
      </c>
      <c r="I217">
        <v>2.84</v>
      </c>
      <c r="J217" t="s">
        <v>670</v>
      </c>
      <c r="K217">
        <v>0</v>
      </c>
      <c r="L217">
        <v>0</v>
      </c>
      <c r="M217">
        <v>0</v>
      </c>
      <c r="N217">
        <f t="shared" si="6"/>
        <v>-1</v>
      </c>
      <c r="O217">
        <f t="shared" si="7"/>
        <v>0</v>
      </c>
    </row>
    <row r="218" spans="1:15" x14ac:dyDescent="0.3">
      <c r="A218" t="s">
        <v>50</v>
      </c>
      <c r="B218" t="s">
        <v>94</v>
      </c>
      <c r="C218" t="s">
        <v>192</v>
      </c>
      <c r="D218" t="s">
        <v>328</v>
      </c>
      <c r="E218" t="s">
        <v>554</v>
      </c>
      <c r="F218">
        <v>1.99</v>
      </c>
      <c r="G218">
        <v>4</v>
      </c>
      <c r="H218">
        <v>2.98</v>
      </c>
      <c r="I218">
        <v>2.36</v>
      </c>
      <c r="J218" t="s">
        <v>670</v>
      </c>
      <c r="K218">
        <v>0</v>
      </c>
      <c r="L218">
        <v>4</v>
      </c>
      <c r="M218">
        <v>1</v>
      </c>
      <c r="N218">
        <f t="shared" si="6"/>
        <v>1.2716000000000001</v>
      </c>
      <c r="O218">
        <f t="shared" si="7"/>
        <v>4</v>
      </c>
    </row>
    <row r="219" spans="1:15" x14ac:dyDescent="0.3">
      <c r="A219" t="s">
        <v>50</v>
      </c>
      <c r="B219" t="s">
        <v>121</v>
      </c>
      <c r="C219" t="s">
        <v>193</v>
      </c>
      <c r="D219" t="s">
        <v>329</v>
      </c>
      <c r="E219" t="s">
        <v>555</v>
      </c>
      <c r="F219">
        <v>2.16</v>
      </c>
      <c r="G219">
        <v>3.7</v>
      </c>
      <c r="H219">
        <v>2.86</v>
      </c>
      <c r="I219">
        <v>2.66</v>
      </c>
      <c r="J219" t="s">
        <v>670</v>
      </c>
      <c r="K219">
        <v>0</v>
      </c>
      <c r="L219">
        <v>1</v>
      </c>
      <c r="M219">
        <v>0</v>
      </c>
      <c r="N219">
        <f t="shared" si="6"/>
        <v>-1</v>
      </c>
      <c r="O219">
        <f t="shared" si="7"/>
        <v>1</v>
      </c>
    </row>
    <row r="220" spans="1:15" x14ac:dyDescent="0.3">
      <c r="A220" t="s">
        <v>51</v>
      </c>
      <c r="B220" t="s">
        <v>100</v>
      </c>
      <c r="C220" t="s">
        <v>155</v>
      </c>
      <c r="D220" t="s">
        <v>330</v>
      </c>
      <c r="E220" t="s">
        <v>308</v>
      </c>
      <c r="F220">
        <v>3.05</v>
      </c>
      <c r="G220">
        <v>2.86</v>
      </c>
      <c r="H220">
        <v>2.64</v>
      </c>
      <c r="I220">
        <v>3.5</v>
      </c>
      <c r="J220" t="s">
        <v>670</v>
      </c>
      <c r="K220">
        <v>0</v>
      </c>
      <c r="L220">
        <v>3</v>
      </c>
      <c r="M220">
        <v>1</v>
      </c>
      <c r="N220">
        <f t="shared" si="6"/>
        <v>2.3375000000000004</v>
      </c>
      <c r="O220">
        <f t="shared" si="7"/>
        <v>3</v>
      </c>
    </row>
    <row r="221" spans="1:15" x14ac:dyDescent="0.3">
      <c r="A221" t="s">
        <v>51</v>
      </c>
      <c r="B221" t="s">
        <v>98</v>
      </c>
      <c r="C221" t="s">
        <v>153</v>
      </c>
      <c r="D221" t="s">
        <v>331</v>
      </c>
      <c r="E221" t="s">
        <v>389</v>
      </c>
      <c r="F221">
        <v>2.62</v>
      </c>
      <c r="G221">
        <v>3.45</v>
      </c>
      <c r="H221">
        <v>2.94</v>
      </c>
      <c r="I221">
        <v>3.05</v>
      </c>
      <c r="J221" t="s">
        <v>670</v>
      </c>
      <c r="K221">
        <v>0</v>
      </c>
      <c r="L221">
        <v>2</v>
      </c>
      <c r="M221">
        <v>0</v>
      </c>
      <c r="N221">
        <f t="shared" si="6"/>
        <v>-1</v>
      </c>
      <c r="O221">
        <f t="shared" si="7"/>
        <v>2</v>
      </c>
    </row>
    <row r="222" spans="1:15" x14ac:dyDescent="0.3">
      <c r="A222" t="s">
        <v>51</v>
      </c>
      <c r="B222" t="s">
        <v>115</v>
      </c>
      <c r="C222" t="s">
        <v>149</v>
      </c>
      <c r="D222" t="s">
        <v>297</v>
      </c>
      <c r="E222" t="s">
        <v>556</v>
      </c>
      <c r="F222">
        <v>2.08</v>
      </c>
      <c r="G222">
        <v>4.0999999999999996</v>
      </c>
      <c r="H222">
        <v>3.1</v>
      </c>
      <c r="I222">
        <v>2.62</v>
      </c>
      <c r="J222" t="s">
        <v>670</v>
      </c>
      <c r="K222">
        <v>1</v>
      </c>
      <c r="L222">
        <v>2</v>
      </c>
      <c r="M222">
        <v>1</v>
      </c>
      <c r="N222">
        <f t="shared" si="6"/>
        <v>1.5147000000000002</v>
      </c>
      <c r="O222">
        <f t="shared" si="7"/>
        <v>3</v>
      </c>
    </row>
    <row r="223" spans="1:15" x14ac:dyDescent="0.3">
      <c r="A223" t="s">
        <v>51</v>
      </c>
      <c r="B223" t="s">
        <v>122</v>
      </c>
      <c r="C223" t="s">
        <v>179</v>
      </c>
      <c r="D223" t="s">
        <v>332</v>
      </c>
      <c r="E223" t="s">
        <v>557</v>
      </c>
      <c r="F223">
        <v>1.97</v>
      </c>
      <c r="G223">
        <v>4.2</v>
      </c>
      <c r="H223">
        <v>3.5</v>
      </c>
      <c r="I223">
        <v>2.3199999999999998</v>
      </c>
      <c r="J223" t="s">
        <v>670</v>
      </c>
      <c r="K223">
        <v>0</v>
      </c>
      <c r="L223">
        <v>2</v>
      </c>
      <c r="M223">
        <v>0</v>
      </c>
      <c r="N223">
        <f t="shared" si="6"/>
        <v>-1</v>
      </c>
      <c r="O223">
        <f t="shared" si="7"/>
        <v>2</v>
      </c>
    </row>
    <row r="224" spans="1:15" x14ac:dyDescent="0.3">
      <c r="A224" t="s">
        <v>51</v>
      </c>
      <c r="B224" t="s">
        <v>123</v>
      </c>
      <c r="C224" t="s">
        <v>158</v>
      </c>
      <c r="D224" t="s">
        <v>333</v>
      </c>
      <c r="E224" t="s">
        <v>558</v>
      </c>
      <c r="F224">
        <v>2.16</v>
      </c>
      <c r="G224">
        <v>4.0999999999999996</v>
      </c>
      <c r="H224">
        <v>3.15</v>
      </c>
      <c r="I224">
        <v>2.6</v>
      </c>
      <c r="J224" t="s">
        <v>670</v>
      </c>
      <c r="K224">
        <v>1</v>
      </c>
      <c r="L224">
        <v>0</v>
      </c>
      <c r="M224">
        <v>0</v>
      </c>
      <c r="N224">
        <f t="shared" si="6"/>
        <v>-1</v>
      </c>
      <c r="O224">
        <f t="shared" si="7"/>
        <v>1</v>
      </c>
    </row>
    <row r="225" spans="1:15" x14ac:dyDescent="0.3">
      <c r="A225" t="s">
        <v>52</v>
      </c>
      <c r="B225" t="s">
        <v>124</v>
      </c>
      <c r="C225" t="s">
        <v>194</v>
      </c>
      <c r="D225" t="s">
        <v>334</v>
      </c>
      <c r="E225" t="s">
        <v>559</v>
      </c>
      <c r="F225">
        <v>2.08</v>
      </c>
      <c r="G225">
        <v>3.85</v>
      </c>
      <c r="H225">
        <v>3.15</v>
      </c>
      <c r="I225">
        <v>2.46</v>
      </c>
      <c r="J225" t="s">
        <v>670</v>
      </c>
      <c r="K225">
        <v>1</v>
      </c>
      <c r="L225">
        <v>1</v>
      </c>
      <c r="M225">
        <v>0</v>
      </c>
      <c r="N225">
        <f t="shared" si="6"/>
        <v>-1</v>
      </c>
      <c r="O225">
        <f t="shared" si="7"/>
        <v>2</v>
      </c>
    </row>
    <row r="226" spans="1:15" x14ac:dyDescent="0.3">
      <c r="A226" t="s">
        <v>52</v>
      </c>
      <c r="B226" t="s">
        <v>125</v>
      </c>
      <c r="C226" t="s">
        <v>167</v>
      </c>
      <c r="D226" t="s">
        <v>335</v>
      </c>
      <c r="E226" t="s">
        <v>524</v>
      </c>
      <c r="F226">
        <v>1.8</v>
      </c>
      <c r="G226">
        <v>5.4</v>
      </c>
      <c r="H226">
        <v>3.7</v>
      </c>
      <c r="I226">
        <v>2.2200000000000002</v>
      </c>
      <c r="J226" t="s">
        <v>670</v>
      </c>
      <c r="K226">
        <v>2</v>
      </c>
      <c r="L226">
        <v>1</v>
      </c>
      <c r="M226">
        <v>1</v>
      </c>
      <c r="N226">
        <f t="shared" si="6"/>
        <v>1.1407000000000003</v>
      </c>
      <c r="O226">
        <f t="shared" si="7"/>
        <v>3</v>
      </c>
    </row>
    <row r="227" spans="1:15" x14ac:dyDescent="0.3">
      <c r="A227" t="s">
        <v>52</v>
      </c>
      <c r="B227" t="s">
        <v>102</v>
      </c>
      <c r="C227" t="s">
        <v>160</v>
      </c>
      <c r="D227" t="s">
        <v>269</v>
      </c>
      <c r="E227" t="s">
        <v>496</v>
      </c>
      <c r="F227">
        <v>1.84</v>
      </c>
      <c r="G227">
        <v>5.3</v>
      </c>
      <c r="H227">
        <v>3.65</v>
      </c>
      <c r="I227">
        <v>2.3199999999999998</v>
      </c>
      <c r="J227" t="s">
        <v>670</v>
      </c>
      <c r="K227">
        <v>3</v>
      </c>
      <c r="L227">
        <v>2</v>
      </c>
      <c r="M227">
        <v>1</v>
      </c>
      <c r="N227">
        <f t="shared" si="6"/>
        <v>1.2342</v>
      </c>
      <c r="O227">
        <f t="shared" si="7"/>
        <v>5</v>
      </c>
    </row>
    <row r="228" spans="1:15" x14ac:dyDescent="0.3">
      <c r="A228" t="s">
        <v>52</v>
      </c>
      <c r="B228" t="s">
        <v>101</v>
      </c>
      <c r="C228" t="s">
        <v>167</v>
      </c>
      <c r="D228" t="s">
        <v>336</v>
      </c>
      <c r="E228" t="s">
        <v>560</v>
      </c>
      <c r="F228">
        <v>2.44</v>
      </c>
      <c r="G228">
        <v>3.75</v>
      </c>
      <c r="H228">
        <v>2.98</v>
      </c>
      <c r="I228">
        <v>2.8</v>
      </c>
      <c r="J228" t="s">
        <v>670</v>
      </c>
      <c r="K228">
        <v>2</v>
      </c>
      <c r="L228">
        <v>1</v>
      </c>
      <c r="M228">
        <v>1</v>
      </c>
      <c r="N228">
        <f t="shared" si="6"/>
        <v>1.6829999999999998</v>
      </c>
      <c r="O228">
        <f t="shared" si="7"/>
        <v>3</v>
      </c>
    </row>
    <row r="229" spans="1:15" x14ac:dyDescent="0.3">
      <c r="A229" t="s">
        <v>53</v>
      </c>
      <c r="B229" t="s">
        <v>118</v>
      </c>
      <c r="C229" t="s">
        <v>195</v>
      </c>
      <c r="D229" t="s">
        <v>337</v>
      </c>
      <c r="E229" t="s">
        <v>561</v>
      </c>
      <c r="F229">
        <v>2.38</v>
      </c>
      <c r="G229">
        <v>3.45</v>
      </c>
      <c r="H229">
        <v>2.86</v>
      </c>
      <c r="I229">
        <v>2.8</v>
      </c>
      <c r="J229" t="s">
        <v>670</v>
      </c>
      <c r="K229">
        <v>2</v>
      </c>
      <c r="L229">
        <v>0</v>
      </c>
      <c r="M229">
        <v>0</v>
      </c>
      <c r="N229">
        <f t="shared" si="6"/>
        <v>-1</v>
      </c>
      <c r="O229">
        <f t="shared" si="7"/>
        <v>2</v>
      </c>
    </row>
    <row r="230" spans="1:15" x14ac:dyDescent="0.3">
      <c r="A230" t="s">
        <v>53</v>
      </c>
      <c r="B230" t="s">
        <v>97</v>
      </c>
      <c r="C230" t="s">
        <v>196</v>
      </c>
      <c r="D230" t="s">
        <v>338</v>
      </c>
      <c r="E230" t="s">
        <v>562</v>
      </c>
      <c r="F230">
        <v>2.52</v>
      </c>
      <c r="G230">
        <v>3.75</v>
      </c>
      <c r="H230">
        <v>2.76</v>
      </c>
      <c r="I230">
        <v>2.88</v>
      </c>
      <c r="J230" t="s">
        <v>670</v>
      </c>
      <c r="K230">
        <v>2</v>
      </c>
      <c r="L230">
        <v>2</v>
      </c>
      <c r="M230">
        <v>1</v>
      </c>
      <c r="N230">
        <f t="shared" si="6"/>
        <v>1.7578</v>
      </c>
      <c r="O230">
        <f t="shared" si="7"/>
        <v>4</v>
      </c>
    </row>
    <row r="231" spans="1:15" x14ac:dyDescent="0.3">
      <c r="A231" t="s">
        <v>53</v>
      </c>
      <c r="B231" t="s">
        <v>102</v>
      </c>
      <c r="C231" t="s">
        <v>160</v>
      </c>
      <c r="D231" t="s">
        <v>293</v>
      </c>
      <c r="E231" t="s">
        <v>563</v>
      </c>
      <c r="F231">
        <v>1.92</v>
      </c>
      <c r="G231">
        <v>4.9000000000000004</v>
      </c>
      <c r="H231">
        <v>3.6</v>
      </c>
      <c r="I231">
        <v>2.2799999999999998</v>
      </c>
      <c r="J231" t="s">
        <v>670</v>
      </c>
      <c r="K231">
        <v>3</v>
      </c>
      <c r="L231">
        <v>0</v>
      </c>
      <c r="M231">
        <v>1</v>
      </c>
      <c r="N231">
        <f t="shared" si="6"/>
        <v>1.1967999999999999</v>
      </c>
      <c r="O231">
        <f t="shared" si="7"/>
        <v>3</v>
      </c>
    </row>
    <row r="232" spans="1:15" x14ac:dyDescent="0.3">
      <c r="A232" t="s">
        <v>53</v>
      </c>
      <c r="B232" t="s">
        <v>102</v>
      </c>
      <c r="C232" t="s">
        <v>170</v>
      </c>
      <c r="D232" t="s">
        <v>339</v>
      </c>
      <c r="E232" t="s">
        <v>564</v>
      </c>
      <c r="F232">
        <v>2.1</v>
      </c>
      <c r="G232">
        <v>4.3</v>
      </c>
      <c r="H232">
        <v>3.25</v>
      </c>
      <c r="I232">
        <v>2.42</v>
      </c>
      <c r="J232" t="s">
        <v>670</v>
      </c>
      <c r="K232">
        <v>2</v>
      </c>
      <c r="L232">
        <v>0</v>
      </c>
      <c r="M232">
        <v>0</v>
      </c>
      <c r="N232">
        <f t="shared" si="6"/>
        <v>-1</v>
      </c>
      <c r="O232">
        <f t="shared" si="7"/>
        <v>2</v>
      </c>
    </row>
    <row r="233" spans="1:15" x14ac:dyDescent="0.3">
      <c r="A233" t="s">
        <v>53</v>
      </c>
      <c r="B233" t="s">
        <v>91</v>
      </c>
      <c r="C233" t="s">
        <v>166</v>
      </c>
      <c r="D233" t="s">
        <v>340</v>
      </c>
      <c r="E233" t="s">
        <v>565</v>
      </c>
      <c r="F233">
        <v>2.1</v>
      </c>
      <c r="G233">
        <v>4.0999999999999996</v>
      </c>
      <c r="H233">
        <v>3.3</v>
      </c>
      <c r="I233">
        <v>2.5</v>
      </c>
      <c r="J233" t="s">
        <v>670</v>
      </c>
      <c r="K233">
        <v>1</v>
      </c>
      <c r="L233">
        <v>0</v>
      </c>
      <c r="M233">
        <v>0</v>
      </c>
      <c r="N233">
        <f t="shared" si="6"/>
        <v>-1</v>
      </c>
      <c r="O233">
        <f t="shared" si="7"/>
        <v>1</v>
      </c>
    </row>
    <row r="234" spans="1:15" x14ac:dyDescent="0.3">
      <c r="A234" t="s">
        <v>53</v>
      </c>
      <c r="B234" t="s">
        <v>98</v>
      </c>
      <c r="C234" t="s">
        <v>186</v>
      </c>
      <c r="D234" t="s">
        <v>341</v>
      </c>
      <c r="E234" t="s">
        <v>566</v>
      </c>
      <c r="F234">
        <v>1.95</v>
      </c>
      <c r="G234">
        <v>4.8</v>
      </c>
      <c r="H234">
        <v>3.5</v>
      </c>
      <c r="I234">
        <v>2.2400000000000002</v>
      </c>
      <c r="J234" t="s">
        <v>670</v>
      </c>
      <c r="K234">
        <v>4</v>
      </c>
      <c r="L234">
        <v>0</v>
      </c>
      <c r="M234">
        <v>1</v>
      </c>
      <c r="N234">
        <f t="shared" si="6"/>
        <v>1.1594000000000002</v>
      </c>
      <c r="O234">
        <f t="shared" si="7"/>
        <v>4</v>
      </c>
    </row>
    <row r="235" spans="1:15" x14ac:dyDescent="0.3">
      <c r="A235" t="s">
        <v>54</v>
      </c>
      <c r="B235" t="s">
        <v>92</v>
      </c>
      <c r="C235" t="s">
        <v>154</v>
      </c>
      <c r="D235" t="s">
        <v>249</v>
      </c>
      <c r="E235" t="s">
        <v>288</v>
      </c>
      <c r="F235">
        <v>1.68</v>
      </c>
      <c r="G235">
        <v>6</v>
      </c>
      <c r="H235">
        <v>4</v>
      </c>
      <c r="I235">
        <v>2.02</v>
      </c>
      <c r="J235" t="s">
        <v>670</v>
      </c>
      <c r="K235">
        <v>2</v>
      </c>
      <c r="L235">
        <v>0</v>
      </c>
      <c r="M235">
        <v>0</v>
      </c>
      <c r="N235">
        <f t="shared" si="6"/>
        <v>-1</v>
      </c>
      <c r="O235">
        <f t="shared" si="7"/>
        <v>2</v>
      </c>
    </row>
    <row r="236" spans="1:15" x14ac:dyDescent="0.3">
      <c r="A236" t="s">
        <v>55</v>
      </c>
      <c r="B236" t="s">
        <v>92</v>
      </c>
      <c r="C236" t="s">
        <v>154</v>
      </c>
      <c r="D236" t="s">
        <v>342</v>
      </c>
      <c r="E236" t="s">
        <v>521</v>
      </c>
      <c r="F236">
        <v>1.79</v>
      </c>
      <c r="G236">
        <v>5.3</v>
      </c>
      <c r="H236">
        <v>3.85</v>
      </c>
      <c r="I236">
        <v>2.06</v>
      </c>
      <c r="J236" t="s">
        <v>670</v>
      </c>
      <c r="K236">
        <v>1</v>
      </c>
      <c r="L236">
        <v>1</v>
      </c>
      <c r="M236">
        <v>0</v>
      </c>
      <c r="N236">
        <f t="shared" si="6"/>
        <v>-1</v>
      </c>
      <c r="O236">
        <f t="shared" si="7"/>
        <v>2</v>
      </c>
    </row>
    <row r="237" spans="1:15" x14ac:dyDescent="0.3">
      <c r="A237" t="s">
        <v>55</v>
      </c>
      <c r="B237" t="s">
        <v>89</v>
      </c>
      <c r="C237" t="s">
        <v>197</v>
      </c>
      <c r="D237" t="s">
        <v>343</v>
      </c>
      <c r="E237" t="s">
        <v>567</v>
      </c>
      <c r="F237">
        <v>2.12</v>
      </c>
      <c r="G237">
        <v>3.9</v>
      </c>
      <c r="H237">
        <v>3.25</v>
      </c>
      <c r="I237">
        <v>2.44</v>
      </c>
      <c r="J237" t="s">
        <v>670</v>
      </c>
      <c r="K237">
        <v>1</v>
      </c>
      <c r="L237">
        <v>2</v>
      </c>
      <c r="M237">
        <v>1</v>
      </c>
      <c r="N237">
        <f t="shared" si="6"/>
        <v>1.3464</v>
      </c>
      <c r="O237">
        <f t="shared" si="7"/>
        <v>3</v>
      </c>
    </row>
    <row r="238" spans="1:15" x14ac:dyDescent="0.3">
      <c r="A238" t="s">
        <v>55</v>
      </c>
      <c r="B238" t="s">
        <v>89</v>
      </c>
      <c r="C238" t="s">
        <v>198</v>
      </c>
      <c r="D238" t="s">
        <v>344</v>
      </c>
      <c r="E238" t="s">
        <v>273</v>
      </c>
      <c r="F238">
        <v>1.79</v>
      </c>
      <c r="G238">
        <v>5.3</v>
      </c>
      <c r="H238">
        <v>3.85</v>
      </c>
      <c r="I238">
        <v>2.08</v>
      </c>
      <c r="J238" t="s">
        <v>670</v>
      </c>
      <c r="K238">
        <v>2</v>
      </c>
      <c r="L238">
        <v>3</v>
      </c>
      <c r="M238">
        <v>1</v>
      </c>
      <c r="N238">
        <f t="shared" si="6"/>
        <v>1.0098</v>
      </c>
      <c r="O238">
        <f t="shared" si="7"/>
        <v>5</v>
      </c>
    </row>
    <row r="239" spans="1:15" x14ac:dyDescent="0.3">
      <c r="A239" t="s">
        <v>55</v>
      </c>
      <c r="B239" t="s">
        <v>90</v>
      </c>
      <c r="C239" t="s">
        <v>199</v>
      </c>
      <c r="D239" t="s">
        <v>345</v>
      </c>
      <c r="E239" t="s">
        <v>568</v>
      </c>
      <c r="F239">
        <v>2.2200000000000002</v>
      </c>
      <c r="G239">
        <v>3.8</v>
      </c>
      <c r="H239">
        <v>2.92</v>
      </c>
      <c r="I239">
        <v>2.74</v>
      </c>
      <c r="J239" t="s">
        <v>670</v>
      </c>
      <c r="K239">
        <v>0</v>
      </c>
      <c r="L239">
        <v>1</v>
      </c>
      <c r="M239">
        <v>0</v>
      </c>
      <c r="N239">
        <f t="shared" si="6"/>
        <v>-1</v>
      </c>
      <c r="O239">
        <f t="shared" si="7"/>
        <v>1</v>
      </c>
    </row>
    <row r="240" spans="1:15" x14ac:dyDescent="0.3">
      <c r="A240" t="s">
        <v>55</v>
      </c>
      <c r="B240" t="s">
        <v>90</v>
      </c>
      <c r="C240" t="s">
        <v>200</v>
      </c>
      <c r="D240" t="s">
        <v>346</v>
      </c>
      <c r="E240" t="s">
        <v>569</v>
      </c>
      <c r="F240">
        <v>1.85</v>
      </c>
      <c r="G240">
        <v>5</v>
      </c>
      <c r="H240">
        <v>3.6</v>
      </c>
      <c r="I240">
        <v>2.16</v>
      </c>
      <c r="J240" t="s">
        <v>670</v>
      </c>
      <c r="K240">
        <v>3</v>
      </c>
      <c r="L240">
        <v>2</v>
      </c>
      <c r="M240">
        <v>1</v>
      </c>
      <c r="N240">
        <f t="shared" si="6"/>
        <v>1.0846000000000002</v>
      </c>
      <c r="O240">
        <f t="shared" si="7"/>
        <v>5</v>
      </c>
    </row>
    <row r="241" spans="1:15" x14ac:dyDescent="0.3">
      <c r="A241" t="s">
        <v>55</v>
      </c>
      <c r="B241" t="s">
        <v>121</v>
      </c>
      <c r="C241" t="s">
        <v>197</v>
      </c>
      <c r="D241" t="s">
        <v>347</v>
      </c>
      <c r="E241" t="s">
        <v>488</v>
      </c>
      <c r="F241">
        <v>1.88</v>
      </c>
      <c r="G241">
        <v>4.7</v>
      </c>
      <c r="H241">
        <v>3.7</v>
      </c>
      <c r="I241">
        <v>2.2999999999999998</v>
      </c>
      <c r="J241" t="s">
        <v>670</v>
      </c>
      <c r="K241">
        <v>1</v>
      </c>
      <c r="L241">
        <v>0</v>
      </c>
      <c r="M241">
        <v>0</v>
      </c>
      <c r="N241">
        <f t="shared" si="6"/>
        <v>-1</v>
      </c>
      <c r="O241">
        <f t="shared" si="7"/>
        <v>1</v>
      </c>
    </row>
    <row r="242" spans="1:15" x14ac:dyDescent="0.3">
      <c r="A242" t="s">
        <v>56</v>
      </c>
      <c r="B242" t="s">
        <v>89</v>
      </c>
      <c r="C242" t="s">
        <v>181</v>
      </c>
      <c r="D242" t="s">
        <v>348</v>
      </c>
      <c r="E242" t="s">
        <v>570</v>
      </c>
      <c r="F242">
        <v>1.98</v>
      </c>
      <c r="G242">
        <v>4.4000000000000004</v>
      </c>
      <c r="H242">
        <v>3.2</v>
      </c>
      <c r="I242">
        <v>2.48</v>
      </c>
      <c r="J242" t="s">
        <v>670</v>
      </c>
      <c r="K242">
        <v>1</v>
      </c>
      <c r="L242">
        <v>1</v>
      </c>
      <c r="M242">
        <v>0</v>
      </c>
      <c r="N242">
        <f t="shared" si="6"/>
        <v>-1</v>
      </c>
      <c r="O242">
        <f t="shared" si="7"/>
        <v>2</v>
      </c>
    </row>
    <row r="243" spans="1:15" x14ac:dyDescent="0.3">
      <c r="A243" t="s">
        <v>56</v>
      </c>
      <c r="B243" t="s">
        <v>90</v>
      </c>
      <c r="C243" t="s">
        <v>197</v>
      </c>
      <c r="D243" t="s">
        <v>349</v>
      </c>
      <c r="E243" t="s">
        <v>571</v>
      </c>
      <c r="F243">
        <v>2.42</v>
      </c>
      <c r="G243">
        <v>3.75</v>
      </c>
      <c r="H243">
        <v>2.86</v>
      </c>
      <c r="I243">
        <v>2.78</v>
      </c>
      <c r="J243" t="s">
        <v>670</v>
      </c>
      <c r="K243">
        <v>3</v>
      </c>
      <c r="L243">
        <v>2</v>
      </c>
      <c r="M243">
        <v>1</v>
      </c>
      <c r="N243">
        <f t="shared" si="6"/>
        <v>1.6642999999999999</v>
      </c>
      <c r="O243">
        <f t="shared" si="7"/>
        <v>5</v>
      </c>
    </row>
    <row r="244" spans="1:15" x14ac:dyDescent="0.3">
      <c r="A244" t="s">
        <v>57</v>
      </c>
      <c r="B244" t="s">
        <v>122</v>
      </c>
      <c r="C244" t="s">
        <v>167</v>
      </c>
      <c r="D244" t="s">
        <v>350</v>
      </c>
      <c r="E244" t="s">
        <v>572</v>
      </c>
      <c r="F244">
        <v>2.12</v>
      </c>
      <c r="G244">
        <v>4.3</v>
      </c>
      <c r="H244">
        <v>3.25</v>
      </c>
      <c r="I244">
        <v>2.52</v>
      </c>
      <c r="J244" t="s">
        <v>670</v>
      </c>
      <c r="K244">
        <v>3</v>
      </c>
      <c r="L244">
        <v>3</v>
      </c>
      <c r="M244">
        <v>1</v>
      </c>
      <c r="N244">
        <f t="shared" si="6"/>
        <v>1.4212</v>
      </c>
      <c r="O244">
        <f t="shared" si="7"/>
        <v>6</v>
      </c>
    </row>
    <row r="245" spans="1:15" x14ac:dyDescent="0.3">
      <c r="A245" t="s">
        <v>58</v>
      </c>
      <c r="B245" t="s">
        <v>126</v>
      </c>
      <c r="C245" t="s">
        <v>201</v>
      </c>
      <c r="D245" t="s">
        <v>351</v>
      </c>
      <c r="E245" t="s">
        <v>385</v>
      </c>
      <c r="F245">
        <v>2.04</v>
      </c>
      <c r="G245">
        <v>4.5</v>
      </c>
      <c r="H245">
        <v>3.1</v>
      </c>
      <c r="I245">
        <v>2.56</v>
      </c>
      <c r="J245" t="s">
        <v>670</v>
      </c>
      <c r="K245">
        <v>0</v>
      </c>
      <c r="L245">
        <v>4</v>
      </c>
      <c r="M245">
        <v>1</v>
      </c>
      <c r="N245">
        <f t="shared" si="6"/>
        <v>1.4586000000000001</v>
      </c>
      <c r="O245">
        <f t="shared" si="7"/>
        <v>4</v>
      </c>
    </row>
    <row r="246" spans="1:15" x14ac:dyDescent="0.3">
      <c r="A246" t="s">
        <v>58</v>
      </c>
      <c r="B246" t="s">
        <v>100</v>
      </c>
      <c r="C246" t="s">
        <v>154</v>
      </c>
      <c r="D246" t="s">
        <v>352</v>
      </c>
      <c r="E246" t="s">
        <v>396</v>
      </c>
      <c r="F246">
        <v>1.84</v>
      </c>
      <c r="G246">
        <v>5.0999999999999996</v>
      </c>
      <c r="H246">
        <v>3.7</v>
      </c>
      <c r="I246">
        <v>2.2200000000000002</v>
      </c>
      <c r="J246" t="s">
        <v>670</v>
      </c>
      <c r="K246">
        <v>4</v>
      </c>
      <c r="L246">
        <v>0</v>
      </c>
      <c r="M246">
        <v>1</v>
      </c>
      <c r="N246">
        <f t="shared" si="6"/>
        <v>1.1407000000000003</v>
      </c>
      <c r="O246">
        <f t="shared" si="7"/>
        <v>4</v>
      </c>
    </row>
    <row r="247" spans="1:15" x14ac:dyDescent="0.3">
      <c r="A247" t="s">
        <v>58</v>
      </c>
      <c r="B247" t="s">
        <v>93</v>
      </c>
      <c r="C247" t="s">
        <v>152</v>
      </c>
      <c r="D247" t="s">
        <v>353</v>
      </c>
      <c r="E247" t="s">
        <v>543</v>
      </c>
      <c r="F247">
        <v>1.43</v>
      </c>
      <c r="G247">
        <v>8.8000000000000007</v>
      </c>
      <c r="H247">
        <v>5</v>
      </c>
      <c r="I247">
        <v>1.8</v>
      </c>
      <c r="J247" t="s">
        <v>670</v>
      </c>
      <c r="K247">
        <v>3</v>
      </c>
      <c r="L247">
        <v>0</v>
      </c>
      <c r="M247">
        <v>1</v>
      </c>
      <c r="N247">
        <f t="shared" si="6"/>
        <v>0.74800000000000011</v>
      </c>
      <c r="O247">
        <f t="shared" si="7"/>
        <v>3</v>
      </c>
    </row>
    <row r="248" spans="1:15" x14ac:dyDescent="0.3">
      <c r="A248" t="s">
        <v>58</v>
      </c>
      <c r="B248" t="s">
        <v>93</v>
      </c>
      <c r="C248" t="s">
        <v>163</v>
      </c>
      <c r="D248" t="s">
        <v>292</v>
      </c>
      <c r="E248" t="s">
        <v>280</v>
      </c>
      <c r="F248">
        <v>1.63</v>
      </c>
      <c r="G248">
        <v>6.6</v>
      </c>
      <c r="H248">
        <v>4.0999999999999996</v>
      </c>
      <c r="I248">
        <v>2.02</v>
      </c>
      <c r="J248" t="s">
        <v>670</v>
      </c>
      <c r="K248">
        <v>6</v>
      </c>
      <c r="L248">
        <v>0</v>
      </c>
      <c r="M248">
        <v>1</v>
      </c>
      <c r="N248">
        <f t="shared" si="6"/>
        <v>0.9537000000000001</v>
      </c>
      <c r="O248">
        <f t="shared" si="7"/>
        <v>6</v>
      </c>
    </row>
    <row r="249" spans="1:15" x14ac:dyDescent="0.3">
      <c r="A249" t="s">
        <v>58</v>
      </c>
      <c r="B249" t="s">
        <v>93</v>
      </c>
      <c r="C249" t="s">
        <v>202</v>
      </c>
      <c r="D249" t="s">
        <v>354</v>
      </c>
      <c r="E249" t="s">
        <v>573</v>
      </c>
      <c r="F249">
        <v>1.83</v>
      </c>
      <c r="G249">
        <v>5.3</v>
      </c>
      <c r="H249">
        <v>3.6</v>
      </c>
      <c r="I249">
        <v>2.2999999999999998</v>
      </c>
      <c r="J249" t="s">
        <v>670</v>
      </c>
      <c r="K249">
        <v>1</v>
      </c>
      <c r="L249">
        <v>1</v>
      </c>
      <c r="M249">
        <v>0</v>
      </c>
      <c r="N249">
        <f t="shared" si="6"/>
        <v>-1</v>
      </c>
      <c r="O249">
        <f t="shared" si="7"/>
        <v>2</v>
      </c>
    </row>
    <row r="250" spans="1:15" x14ac:dyDescent="0.3">
      <c r="A250" t="s">
        <v>58</v>
      </c>
      <c r="B250" t="s">
        <v>108</v>
      </c>
      <c r="C250" t="s">
        <v>174</v>
      </c>
      <c r="D250" t="s">
        <v>287</v>
      </c>
      <c r="E250" t="s">
        <v>574</v>
      </c>
      <c r="F250">
        <v>1.79</v>
      </c>
      <c r="G250">
        <v>5.6</v>
      </c>
      <c r="H250">
        <v>3.6</v>
      </c>
      <c r="I250">
        <v>2.2000000000000002</v>
      </c>
      <c r="J250" t="s">
        <v>670</v>
      </c>
      <c r="K250">
        <v>4</v>
      </c>
      <c r="L250">
        <v>2</v>
      </c>
      <c r="M250">
        <v>1</v>
      </c>
      <c r="N250">
        <f t="shared" si="6"/>
        <v>1.1220000000000003</v>
      </c>
      <c r="O250">
        <f t="shared" si="7"/>
        <v>6</v>
      </c>
    </row>
    <row r="251" spans="1:15" x14ac:dyDescent="0.3">
      <c r="A251" t="s">
        <v>58</v>
      </c>
      <c r="B251" t="s">
        <v>108</v>
      </c>
      <c r="C251" t="s">
        <v>203</v>
      </c>
      <c r="D251" t="s">
        <v>355</v>
      </c>
      <c r="E251" t="s">
        <v>575</v>
      </c>
      <c r="F251">
        <v>2.1800000000000002</v>
      </c>
      <c r="G251">
        <v>3.8</v>
      </c>
      <c r="H251">
        <v>3.25</v>
      </c>
      <c r="I251">
        <v>2.58</v>
      </c>
      <c r="J251" t="s">
        <v>670</v>
      </c>
      <c r="K251">
        <v>1</v>
      </c>
      <c r="L251">
        <v>2</v>
      </c>
      <c r="M251">
        <v>1</v>
      </c>
      <c r="N251">
        <f t="shared" si="6"/>
        <v>1.4773000000000001</v>
      </c>
      <c r="O251">
        <f t="shared" si="7"/>
        <v>3</v>
      </c>
    </row>
    <row r="252" spans="1:15" x14ac:dyDescent="0.3">
      <c r="A252" t="s">
        <v>58</v>
      </c>
      <c r="B252" t="s">
        <v>108</v>
      </c>
      <c r="C252" t="s">
        <v>154</v>
      </c>
      <c r="D252" t="s">
        <v>356</v>
      </c>
      <c r="E252" t="s">
        <v>490</v>
      </c>
      <c r="F252">
        <v>1.94</v>
      </c>
      <c r="G252">
        <v>4.7</v>
      </c>
      <c r="H252">
        <v>3.6</v>
      </c>
      <c r="I252">
        <v>2.2400000000000002</v>
      </c>
      <c r="J252" t="s">
        <v>670</v>
      </c>
      <c r="K252">
        <v>1</v>
      </c>
      <c r="L252">
        <v>2</v>
      </c>
      <c r="M252">
        <v>1</v>
      </c>
      <c r="N252">
        <f t="shared" si="6"/>
        <v>1.1594000000000002</v>
      </c>
      <c r="O252">
        <f t="shared" si="7"/>
        <v>3</v>
      </c>
    </row>
    <row r="253" spans="1:15" x14ac:dyDescent="0.3">
      <c r="A253" t="s">
        <v>58</v>
      </c>
      <c r="B253" t="s">
        <v>118</v>
      </c>
      <c r="C253" t="s">
        <v>159</v>
      </c>
      <c r="D253" t="s">
        <v>357</v>
      </c>
      <c r="E253" t="s">
        <v>495</v>
      </c>
      <c r="F253">
        <v>1.83</v>
      </c>
      <c r="G253">
        <v>5.0999999999999996</v>
      </c>
      <c r="H253">
        <v>3.7</v>
      </c>
      <c r="I253">
        <v>2.1</v>
      </c>
      <c r="J253" t="s">
        <v>670</v>
      </c>
      <c r="K253">
        <v>2</v>
      </c>
      <c r="L253">
        <v>0</v>
      </c>
      <c r="M253">
        <v>0</v>
      </c>
      <c r="N253">
        <f t="shared" si="6"/>
        <v>-1</v>
      </c>
      <c r="O253">
        <f t="shared" si="7"/>
        <v>2</v>
      </c>
    </row>
    <row r="254" spans="1:15" x14ac:dyDescent="0.3">
      <c r="A254" t="s">
        <v>58</v>
      </c>
      <c r="B254" t="s">
        <v>110</v>
      </c>
      <c r="C254" t="s">
        <v>204</v>
      </c>
      <c r="D254" t="s">
        <v>358</v>
      </c>
      <c r="E254" t="s">
        <v>576</v>
      </c>
      <c r="F254">
        <v>2.1800000000000002</v>
      </c>
      <c r="G254">
        <v>4.2</v>
      </c>
      <c r="H254">
        <v>3</v>
      </c>
      <c r="I254">
        <v>2.62</v>
      </c>
      <c r="J254" t="s">
        <v>670</v>
      </c>
      <c r="K254">
        <v>4</v>
      </c>
      <c r="L254">
        <v>2</v>
      </c>
      <c r="M254">
        <v>1</v>
      </c>
      <c r="N254">
        <f t="shared" si="6"/>
        <v>1.5147000000000002</v>
      </c>
      <c r="O254">
        <f t="shared" si="7"/>
        <v>6</v>
      </c>
    </row>
    <row r="255" spans="1:15" x14ac:dyDescent="0.3">
      <c r="A255" t="s">
        <v>58</v>
      </c>
      <c r="B255" t="s">
        <v>127</v>
      </c>
      <c r="C255" t="s">
        <v>199</v>
      </c>
      <c r="D255" t="s">
        <v>359</v>
      </c>
      <c r="E255" t="s">
        <v>577</v>
      </c>
      <c r="F255">
        <v>2.36</v>
      </c>
      <c r="G255">
        <v>3.55</v>
      </c>
      <c r="H255">
        <v>2.8</v>
      </c>
      <c r="I255">
        <v>2.88</v>
      </c>
      <c r="J255" t="s">
        <v>670</v>
      </c>
      <c r="K255">
        <v>2</v>
      </c>
      <c r="L255">
        <v>1</v>
      </c>
      <c r="M255">
        <v>1</v>
      </c>
      <c r="N255">
        <f t="shared" si="6"/>
        <v>1.7578</v>
      </c>
      <c r="O255">
        <f t="shared" si="7"/>
        <v>3</v>
      </c>
    </row>
    <row r="256" spans="1:15" x14ac:dyDescent="0.3">
      <c r="A256" t="s">
        <v>59</v>
      </c>
      <c r="B256" t="s">
        <v>116</v>
      </c>
      <c r="C256" t="s">
        <v>164</v>
      </c>
      <c r="D256" t="s">
        <v>360</v>
      </c>
      <c r="E256" t="s">
        <v>298</v>
      </c>
      <c r="F256">
        <v>2.46</v>
      </c>
      <c r="G256">
        <v>3.25</v>
      </c>
      <c r="H256">
        <v>2.74</v>
      </c>
      <c r="I256">
        <v>2.88</v>
      </c>
      <c r="J256" t="s">
        <v>670</v>
      </c>
      <c r="K256">
        <v>2</v>
      </c>
      <c r="L256">
        <v>2</v>
      </c>
      <c r="M256">
        <v>1</v>
      </c>
      <c r="N256">
        <f t="shared" si="6"/>
        <v>1.7578</v>
      </c>
      <c r="O256">
        <f t="shared" si="7"/>
        <v>4</v>
      </c>
    </row>
    <row r="257" spans="1:15" x14ac:dyDescent="0.3">
      <c r="A257" t="s">
        <v>59</v>
      </c>
      <c r="B257" t="s">
        <v>116</v>
      </c>
      <c r="C257" t="s">
        <v>205</v>
      </c>
      <c r="D257" t="s">
        <v>361</v>
      </c>
      <c r="E257" t="s">
        <v>578</v>
      </c>
      <c r="F257">
        <v>1.65</v>
      </c>
      <c r="G257">
        <v>6</v>
      </c>
      <c r="H257">
        <v>3.6</v>
      </c>
      <c r="I257">
        <v>2.04</v>
      </c>
      <c r="J257" t="s">
        <v>670</v>
      </c>
      <c r="K257">
        <v>1</v>
      </c>
      <c r="L257">
        <v>2</v>
      </c>
      <c r="M257">
        <v>1</v>
      </c>
      <c r="N257">
        <f t="shared" si="6"/>
        <v>0.97240000000000004</v>
      </c>
      <c r="O257">
        <f t="shared" si="7"/>
        <v>3</v>
      </c>
    </row>
    <row r="258" spans="1:15" x14ac:dyDescent="0.3">
      <c r="A258" t="s">
        <v>59</v>
      </c>
      <c r="B258" t="s">
        <v>116</v>
      </c>
      <c r="C258" t="s">
        <v>164</v>
      </c>
      <c r="D258" t="s">
        <v>362</v>
      </c>
      <c r="E258" t="s">
        <v>475</v>
      </c>
      <c r="F258">
        <v>2.3199999999999998</v>
      </c>
      <c r="G258">
        <v>3.45</v>
      </c>
      <c r="H258">
        <v>2.84</v>
      </c>
      <c r="I258">
        <v>2.76</v>
      </c>
      <c r="J258" t="s">
        <v>670</v>
      </c>
      <c r="K258">
        <v>2</v>
      </c>
      <c r="L258">
        <v>0</v>
      </c>
      <c r="M258">
        <v>0</v>
      </c>
      <c r="N258">
        <f t="shared" si="6"/>
        <v>-1</v>
      </c>
      <c r="O258">
        <f t="shared" si="7"/>
        <v>2</v>
      </c>
    </row>
    <row r="259" spans="1:15" x14ac:dyDescent="0.3">
      <c r="A259" t="s">
        <v>59</v>
      </c>
      <c r="B259" t="s">
        <v>95</v>
      </c>
      <c r="C259" t="s">
        <v>201</v>
      </c>
      <c r="D259" t="s">
        <v>363</v>
      </c>
      <c r="E259" t="s">
        <v>579</v>
      </c>
      <c r="F259">
        <v>1.78</v>
      </c>
      <c r="G259">
        <v>5.3</v>
      </c>
      <c r="H259">
        <v>3.35</v>
      </c>
      <c r="I259">
        <v>2.16</v>
      </c>
      <c r="J259" t="s">
        <v>670</v>
      </c>
      <c r="K259">
        <v>2</v>
      </c>
      <c r="L259">
        <v>1</v>
      </c>
      <c r="M259">
        <v>1</v>
      </c>
      <c r="N259">
        <f t="shared" ref="N259:N289" si="8">IF(M259=1,0.935*(I259-1),-1)</f>
        <v>1.0846000000000002</v>
      </c>
      <c r="O259">
        <f t="shared" ref="O259:O289" si="9">K259+L259</f>
        <v>3</v>
      </c>
    </row>
    <row r="260" spans="1:15" x14ac:dyDescent="0.3">
      <c r="A260" t="s">
        <v>59</v>
      </c>
      <c r="B260" t="s">
        <v>96</v>
      </c>
      <c r="C260" t="s">
        <v>149</v>
      </c>
      <c r="D260" t="s">
        <v>364</v>
      </c>
      <c r="E260" t="s">
        <v>580</v>
      </c>
      <c r="F260">
        <v>2.04</v>
      </c>
      <c r="G260">
        <v>4.2</v>
      </c>
      <c r="H260">
        <v>3</v>
      </c>
      <c r="I260">
        <v>2.5</v>
      </c>
      <c r="J260" t="s">
        <v>670</v>
      </c>
      <c r="K260">
        <v>2</v>
      </c>
      <c r="L260">
        <v>1</v>
      </c>
      <c r="M260">
        <v>1</v>
      </c>
      <c r="N260">
        <f t="shared" si="8"/>
        <v>1.4025000000000001</v>
      </c>
      <c r="O260">
        <f t="shared" si="9"/>
        <v>3</v>
      </c>
    </row>
    <row r="261" spans="1:15" x14ac:dyDescent="0.3">
      <c r="A261" t="s">
        <v>59</v>
      </c>
      <c r="B261" t="s">
        <v>96</v>
      </c>
      <c r="C261" t="s">
        <v>206</v>
      </c>
      <c r="D261" t="s">
        <v>365</v>
      </c>
      <c r="E261" t="s">
        <v>581</v>
      </c>
      <c r="F261">
        <v>2.4</v>
      </c>
      <c r="G261">
        <v>3.55</v>
      </c>
      <c r="H261">
        <v>2.9</v>
      </c>
      <c r="I261">
        <v>2.78</v>
      </c>
      <c r="J261" t="s">
        <v>670</v>
      </c>
      <c r="K261">
        <v>3</v>
      </c>
      <c r="L261">
        <v>2</v>
      </c>
      <c r="M261">
        <v>1</v>
      </c>
      <c r="N261">
        <f t="shared" si="8"/>
        <v>1.6642999999999999</v>
      </c>
      <c r="O261">
        <f t="shared" si="9"/>
        <v>5</v>
      </c>
    </row>
    <row r="262" spans="1:15" x14ac:dyDescent="0.3">
      <c r="A262" t="s">
        <v>59</v>
      </c>
      <c r="B262" t="s">
        <v>96</v>
      </c>
      <c r="C262" t="s">
        <v>149</v>
      </c>
      <c r="D262" t="s">
        <v>319</v>
      </c>
      <c r="E262" t="s">
        <v>582</v>
      </c>
      <c r="F262">
        <v>1.8</v>
      </c>
      <c r="G262">
        <v>5.4</v>
      </c>
      <c r="H262">
        <v>3.35</v>
      </c>
      <c r="I262">
        <v>2.2400000000000002</v>
      </c>
      <c r="J262" t="s">
        <v>670</v>
      </c>
      <c r="K262">
        <v>3</v>
      </c>
      <c r="L262">
        <v>1</v>
      </c>
      <c r="M262">
        <v>1</v>
      </c>
      <c r="N262">
        <f t="shared" si="8"/>
        <v>1.1594000000000002</v>
      </c>
      <c r="O262">
        <f t="shared" si="9"/>
        <v>4</v>
      </c>
    </row>
    <row r="263" spans="1:15" x14ac:dyDescent="0.3">
      <c r="A263" t="s">
        <v>59</v>
      </c>
      <c r="B263" t="s">
        <v>93</v>
      </c>
      <c r="C263" t="s">
        <v>152</v>
      </c>
      <c r="D263" t="s">
        <v>366</v>
      </c>
      <c r="E263" t="s">
        <v>583</v>
      </c>
      <c r="F263">
        <v>2.1</v>
      </c>
      <c r="G263">
        <v>4.4000000000000004</v>
      </c>
      <c r="H263">
        <v>3.2</v>
      </c>
      <c r="I263">
        <v>2.58</v>
      </c>
      <c r="J263" t="s">
        <v>670</v>
      </c>
      <c r="K263">
        <v>3</v>
      </c>
      <c r="L263">
        <v>0</v>
      </c>
      <c r="M263">
        <v>1</v>
      </c>
      <c r="N263">
        <f t="shared" si="8"/>
        <v>1.4773000000000001</v>
      </c>
      <c r="O263">
        <f t="shared" si="9"/>
        <v>3</v>
      </c>
    </row>
    <row r="264" spans="1:15" x14ac:dyDescent="0.3">
      <c r="A264" t="s">
        <v>59</v>
      </c>
      <c r="B264" t="s">
        <v>93</v>
      </c>
      <c r="C264" t="s">
        <v>146</v>
      </c>
      <c r="D264" t="s">
        <v>367</v>
      </c>
      <c r="E264" t="s">
        <v>584</v>
      </c>
      <c r="F264">
        <v>1.57</v>
      </c>
      <c r="G264">
        <v>6.4</v>
      </c>
      <c r="H264">
        <v>4.0999999999999996</v>
      </c>
      <c r="I264">
        <v>1.96</v>
      </c>
      <c r="J264" t="s">
        <v>670</v>
      </c>
      <c r="K264">
        <v>1</v>
      </c>
      <c r="L264">
        <v>2</v>
      </c>
      <c r="M264">
        <v>1</v>
      </c>
      <c r="N264">
        <f t="shared" si="8"/>
        <v>0.89760000000000006</v>
      </c>
      <c r="O264">
        <f t="shared" si="9"/>
        <v>3</v>
      </c>
    </row>
    <row r="265" spans="1:15" x14ac:dyDescent="0.3">
      <c r="A265" t="s">
        <v>59</v>
      </c>
      <c r="B265" t="s">
        <v>108</v>
      </c>
      <c r="C265" t="s">
        <v>204</v>
      </c>
      <c r="D265" t="s">
        <v>368</v>
      </c>
      <c r="E265" t="s">
        <v>585</v>
      </c>
      <c r="F265">
        <v>2.58</v>
      </c>
      <c r="G265">
        <v>3.3</v>
      </c>
      <c r="H265">
        <v>2.56</v>
      </c>
      <c r="I265">
        <v>3.15</v>
      </c>
      <c r="J265" t="s">
        <v>670</v>
      </c>
      <c r="K265">
        <v>2</v>
      </c>
      <c r="L265">
        <v>2</v>
      </c>
      <c r="M265">
        <v>1</v>
      </c>
      <c r="N265">
        <f t="shared" si="8"/>
        <v>2.0102500000000001</v>
      </c>
      <c r="O265">
        <f t="shared" si="9"/>
        <v>4</v>
      </c>
    </row>
    <row r="266" spans="1:15" x14ac:dyDescent="0.3">
      <c r="A266" t="s">
        <v>59</v>
      </c>
      <c r="B266" t="s">
        <v>101</v>
      </c>
      <c r="C266" t="s">
        <v>167</v>
      </c>
      <c r="D266" t="s">
        <v>369</v>
      </c>
      <c r="E266" t="s">
        <v>271</v>
      </c>
      <c r="F266">
        <v>1.61</v>
      </c>
      <c r="G266">
        <v>6.6</v>
      </c>
      <c r="H266">
        <v>4.2</v>
      </c>
      <c r="I266">
        <v>1.96</v>
      </c>
      <c r="J266" t="s">
        <v>670</v>
      </c>
      <c r="K266">
        <v>3</v>
      </c>
      <c r="L266">
        <v>0</v>
      </c>
      <c r="M266">
        <v>1</v>
      </c>
      <c r="N266">
        <f t="shared" si="8"/>
        <v>0.89760000000000006</v>
      </c>
      <c r="O266">
        <f t="shared" si="9"/>
        <v>3</v>
      </c>
    </row>
    <row r="267" spans="1:15" x14ac:dyDescent="0.3">
      <c r="A267" t="s">
        <v>59</v>
      </c>
      <c r="B267" t="s">
        <v>101</v>
      </c>
      <c r="C267" t="s">
        <v>166</v>
      </c>
      <c r="D267" t="s">
        <v>370</v>
      </c>
      <c r="E267" t="s">
        <v>586</v>
      </c>
      <c r="F267">
        <v>2.02</v>
      </c>
      <c r="G267">
        <v>4.5</v>
      </c>
      <c r="H267">
        <v>3.35</v>
      </c>
      <c r="I267">
        <v>2.38</v>
      </c>
      <c r="J267" t="s">
        <v>670</v>
      </c>
      <c r="K267">
        <v>1</v>
      </c>
      <c r="L267">
        <v>4</v>
      </c>
      <c r="M267">
        <v>1</v>
      </c>
      <c r="N267">
        <f t="shared" si="8"/>
        <v>1.2903</v>
      </c>
      <c r="O267">
        <f t="shared" si="9"/>
        <v>5</v>
      </c>
    </row>
    <row r="268" spans="1:15" x14ac:dyDescent="0.3">
      <c r="A268" t="s">
        <v>59</v>
      </c>
      <c r="B268" t="s">
        <v>89</v>
      </c>
      <c r="C268" t="s">
        <v>207</v>
      </c>
      <c r="D268" t="s">
        <v>371</v>
      </c>
      <c r="E268" t="s">
        <v>587</v>
      </c>
      <c r="F268">
        <v>2.38</v>
      </c>
      <c r="G268">
        <v>3.25</v>
      </c>
      <c r="H268">
        <v>2.92</v>
      </c>
      <c r="I268">
        <v>2.72</v>
      </c>
      <c r="J268" t="s">
        <v>670</v>
      </c>
      <c r="K268">
        <v>1</v>
      </c>
      <c r="L268">
        <v>2</v>
      </c>
      <c r="M268">
        <v>1</v>
      </c>
      <c r="N268">
        <f t="shared" si="8"/>
        <v>1.6082000000000003</v>
      </c>
      <c r="O268">
        <f t="shared" si="9"/>
        <v>3</v>
      </c>
    </row>
    <row r="269" spans="1:15" x14ac:dyDescent="0.3">
      <c r="A269" t="s">
        <v>59</v>
      </c>
      <c r="B269" t="s">
        <v>128</v>
      </c>
      <c r="C269" t="s">
        <v>158</v>
      </c>
      <c r="D269" t="s">
        <v>372</v>
      </c>
      <c r="E269" t="s">
        <v>253</v>
      </c>
      <c r="F269">
        <v>1.82</v>
      </c>
      <c r="G269">
        <v>5.4</v>
      </c>
      <c r="H269">
        <v>3.55</v>
      </c>
      <c r="I269">
        <v>2.2000000000000002</v>
      </c>
      <c r="J269" t="s">
        <v>670</v>
      </c>
      <c r="K269">
        <v>1</v>
      </c>
      <c r="L269">
        <v>2</v>
      </c>
      <c r="M269">
        <v>1</v>
      </c>
      <c r="N269">
        <f t="shared" si="8"/>
        <v>1.1220000000000003</v>
      </c>
      <c r="O269">
        <f t="shared" si="9"/>
        <v>3</v>
      </c>
    </row>
    <row r="270" spans="1:15" x14ac:dyDescent="0.3">
      <c r="A270" t="s">
        <v>59</v>
      </c>
      <c r="B270" t="s">
        <v>129</v>
      </c>
      <c r="C270" t="s">
        <v>147</v>
      </c>
      <c r="D270" t="s">
        <v>262</v>
      </c>
      <c r="E270" t="s">
        <v>588</v>
      </c>
      <c r="F270">
        <v>1.9</v>
      </c>
      <c r="G270">
        <v>4.5999999999999996</v>
      </c>
      <c r="H270">
        <v>3.4</v>
      </c>
      <c r="I270">
        <v>2.2400000000000002</v>
      </c>
      <c r="J270" t="s">
        <v>670</v>
      </c>
      <c r="K270">
        <v>0</v>
      </c>
      <c r="L270">
        <v>0</v>
      </c>
      <c r="M270">
        <v>0</v>
      </c>
      <c r="N270">
        <f t="shared" si="8"/>
        <v>-1</v>
      </c>
      <c r="O270">
        <f t="shared" si="9"/>
        <v>0</v>
      </c>
    </row>
    <row r="271" spans="1:15" x14ac:dyDescent="0.3">
      <c r="A271" t="s">
        <v>60</v>
      </c>
      <c r="B271" t="s">
        <v>108</v>
      </c>
      <c r="C271" t="s">
        <v>166</v>
      </c>
      <c r="D271" t="s">
        <v>266</v>
      </c>
      <c r="E271" t="s">
        <v>589</v>
      </c>
      <c r="F271">
        <v>1.54</v>
      </c>
      <c r="G271">
        <v>7.4</v>
      </c>
      <c r="H271">
        <v>4.3</v>
      </c>
      <c r="I271">
        <v>1.89</v>
      </c>
      <c r="J271" t="s">
        <v>670</v>
      </c>
      <c r="K271">
        <v>3</v>
      </c>
      <c r="L271">
        <v>0</v>
      </c>
      <c r="M271">
        <v>1</v>
      </c>
      <c r="N271">
        <f t="shared" si="8"/>
        <v>0.83214999999999995</v>
      </c>
      <c r="O271">
        <f t="shared" si="9"/>
        <v>3</v>
      </c>
    </row>
    <row r="272" spans="1:15" x14ac:dyDescent="0.3">
      <c r="A272" t="s">
        <v>61</v>
      </c>
      <c r="B272" t="s">
        <v>104</v>
      </c>
      <c r="C272" t="s">
        <v>171</v>
      </c>
      <c r="D272" t="s">
        <v>373</v>
      </c>
      <c r="E272" t="s">
        <v>590</v>
      </c>
      <c r="F272">
        <v>2.2599999999999998</v>
      </c>
      <c r="G272">
        <v>3.45</v>
      </c>
      <c r="H272">
        <v>2.68</v>
      </c>
      <c r="I272">
        <v>2.84</v>
      </c>
      <c r="J272" t="s">
        <v>670</v>
      </c>
      <c r="K272">
        <v>0</v>
      </c>
      <c r="L272">
        <v>0</v>
      </c>
      <c r="M272">
        <v>0</v>
      </c>
      <c r="N272">
        <f t="shared" si="8"/>
        <v>-1</v>
      </c>
      <c r="O272">
        <f t="shared" si="9"/>
        <v>0</v>
      </c>
    </row>
    <row r="273" spans="1:15" x14ac:dyDescent="0.3">
      <c r="A273" t="s">
        <v>61</v>
      </c>
      <c r="B273" t="s">
        <v>92</v>
      </c>
      <c r="C273" t="s">
        <v>174</v>
      </c>
      <c r="D273" t="s">
        <v>374</v>
      </c>
      <c r="E273" t="s">
        <v>591</v>
      </c>
      <c r="F273">
        <v>1.62</v>
      </c>
      <c r="G273">
        <v>6.4</v>
      </c>
      <c r="H273">
        <v>4.0999999999999996</v>
      </c>
      <c r="I273">
        <v>1.99</v>
      </c>
      <c r="J273" t="s">
        <v>670</v>
      </c>
      <c r="K273">
        <v>1</v>
      </c>
      <c r="L273">
        <v>0</v>
      </c>
      <c r="M273">
        <v>0</v>
      </c>
      <c r="N273">
        <f t="shared" si="8"/>
        <v>-1</v>
      </c>
      <c r="O273">
        <f t="shared" si="9"/>
        <v>1</v>
      </c>
    </row>
    <row r="274" spans="1:15" x14ac:dyDescent="0.3">
      <c r="A274" t="s">
        <v>61</v>
      </c>
      <c r="B274" t="s">
        <v>92</v>
      </c>
      <c r="C274" t="s">
        <v>165</v>
      </c>
      <c r="D274" t="s">
        <v>375</v>
      </c>
      <c r="E274" t="s">
        <v>284</v>
      </c>
      <c r="F274">
        <v>2.16</v>
      </c>
      <c r="G274">
        <v>4.0999999999999996</v>
      </c>
      <c r="H274">
        <v>3.3</v>
      </c>
      <c r="I274">
        <v>2.5</v>
      </c>
      <c r="J274" t="s">
        <v>670</v>
      </c>
      <c r="K274">
        <v>3</v>
      </c>
      <c r="L274">
        <v>0</v>
      </c>
      <c r="M274">
        <v>1</v>
      </c>
      <c r="N274">
        <f t="shared" si="8"/>
        <v>1.4025000000000001</v>
      </c>
      <c r="O274">
        <f t="shared" si="9"/>
        <v>3</v>
      </c>
    </row>
    <row r="275" spans="1:15" x14ac:dyDescent="0.3">
      <c r="A275" t="s">
        <v>61</v>
      </c>
      <c r="B275" t="s">
        <v>92</v>
      </c>
      <c r="C275" t="s">
        <v>165</v>
      </c>
      <c r="D275" t="s">
        <v>376</v>
      </c>
      <c r="E275" t="s">
        <v>473</v>
      </c>
      <c r="F275">
        <v>2.06</v>
      </c>
      <c r="G275">
        <v>4.2</v>
      </c>
      <c r="H275">
        <v>3.45</v>
      </c>
      <c r="I275">
        <v>2.54</v>
      </c>
      <c r="J275" t="s">
        <v>670</v>
      </c>
      <c r="K275">
        <v>2</v>
      </c>
      <c r="L275">
        <v>0</v>
      </c>
      <c r="M275">
        <v>0</v>
      </c>
      <c r="N275">
        <f t="shared" si="8"/>
        <v>-1</v>
      </c>
      <c r="O275">
        <f t="shared" si="9"/>
        <v>2</v>
      </c>
    </row>
    <row r="276" spans="1:15" x14ac:dyDescent="0.3">
      <c r="A276" t="s">
        <v>61</v>
      </c>
      <c r="B276" t="s">
        <v>123</v>
      </c>
      <c r="C276" t="s">
        <v>158</v>
      </c>
      <c r="D276" t="s">
        <v>377</v>
      </c>
      <c r="E276" t="s">
        <v>494</v>
      </c>
      <c r="F276">
        <v>2.3199999999999998</v>
      </c>
      <c r="G276">
        <v>3.8</v>
      </c>
      <c r="H276">
        <v>3.1</v>
      </c>
      <c r="I276">
        <v>2.72</v>
      </c>
      <c r="J276" t="s">
        <v>670</v>
      </c>
      <c r="K276">
        <v>2</v>
      </c>
      <c r="L276">
        <v>2</v>
      </c>
      <c r="M276">
        <v>1</v>
      </c>
      <c r="N276">
        <f t="shared" si="8"/>
        <v>1.6082000000000003</v>
      </c>
      <c r="O276">
        <f t="shared" si="9"/>
        <v>4</v>
      </c>
    </row>
    <row r="277" spans="1:15" x14ac:dyDescent="0.3">
      <c r="A277" t="s">
        <v>62</v>
      </c>
      <c r="B277" t="s">
        <v>90</v>
      </c>
      <c r="C277" t="s">
        <v>143</v>
      </c>
      <c r="D277" t="s">
        <v>378</v>
      </c>
      <c r="E277" t="s">
        <v>592</v>
      </c>
      <c r="F277">
        <v>1.91</v>
      </c>
      <c r="G277">
        <v>5</v>
      </c>
      <c r="H277">
        <v>3.45</v>
      </c>
      <c r="I277">
        <v>2.34</v>
      </c>
      <c r="J277" t="s">
        <v>670</v>
      </c>
      <c r="K277">
        <v>0</v>
      </c>
      <c r="L277">
        <v>1</v>
      </c>
      <c r="M277">
        <v>0</v>
      </c>
      <c r="N277">
        <f t="shared" si="8"/>
        <v>-1</v>
      </c>
      <c r="O277">
        <f t="shared" si="9"/>
        <v>1</v>
      </c>
    </row>
    <row r="278" spans="1:15" x14ac:dyDescent="0.3">
      <c r="A278" t="s">
        <v>62</v>
      </c>
      <c r="B278" t="s">
        <v>94</v>
      </c>
      <c r="C278" t="s">
        <v>192</v>
      </c>
      <c r="D278" t="s">
        <v>379</v>
      </c>
      <c r="E278" t="s">
        <v>593</v>
      </c>
      <c r="F278">
        <v>2.02</v>
      </c>
      <c r="G278">
        <v>4.0999999999999996</v>
      </c>
      <c r="H278">
        <v>3.4</v>
      </c>
      <c r="I278">
        <v>2.5</v>
      </c>
      <c r="J278" t="s">
        <v>670</v>
      </c>
      <c r="K278">
        <v>1</v>
      </c>
      <c r="L278">
        <v>2</v>
      </c>
      <c r="M278">
        <v>1</v>
      </c>
      <c r="N278">
        <f t="shared" si="8"/>
        <v>1.4025000000000001</v>
      </c>
      <c r="O278">
        <f t="shared" si="9"/>
        <v>3</v>
      </c>
    </row>
    <row r="279" spans="1:15" x14ac:dyDescent="0.3">
      <c r="A279" t="s">
        <v>62</v>
      </c>
      <c r="B279" t="s">
        <v>103</v>
      </c>
      <c r="C279" t="s">
        <v>208</v>
      </c>
      <c r="D279" t="s">
        <v>380</v>
      </c>
      <c r="E279" t="s">
        <v>594</v>
      </c>
      <c r="F279">
        <v>1.97</v>
      </c>
      <c r="G279">
        <v>4.7</v>
      </c>
      <c r="H279">
        <v>3.1</v>
      </c>
      <c r="I279">
        <v>2.2799999999999998</v>
      </c>
      <c r="J279" t="s">
        <v>670</v>
      </c>
      <c r="K279">
        <v>1</v>
      </c>
      <c r="L279">
        <v>1</v>
      </c>
      <c r="M279">
        <v>1</v>
      </c>
      <c r="N279">
        <f t="shared" si="8"/>
        <v>1.1967999999999999</v>
      </c>
      <c r="O279">
        <f t="shared" si="9"/>
        <v>2</v>
      </c>
    </row>
    <row r="280" spans="1:15" x14ac:dyDescent="0.3">
      <c r="A280" t="s">
        <v>63</v>
      </c>
      <c r="B280" t="s">
        <v>100</v>
      </c>
      <c r="C280" t="s">
        <v>155</v>
      </c>
      <c r="D280" t="s">
        <v>381</v>
      </c>
      <c r="E280" t="s">
        <v>595</v>
      </c>
      <c r="F280">
        <v>2.76</v>
      </c>
      <c r="G280">
        <v>3.2</v>
      </c>
      <c r="H280">
        <v>2.68</v>
      </c>
      <c r="I280">
        <v>3.15</v>
      </c>
      <c r="J280" t="s">
        <v>670</v>
      </c>
      <c r="K280">
        <v>0</v>
      </c>
      <c r="L280">
        <v>0</v>
      </c>
      <c r="M280">
        <v>0</v>
      </c>
      <c r="N280">
        <f t="shared" si="8"/>
        <v>-1</v>
      </c>
      <c r="O280">
        <f t="shared" si="9"/>
        <v>0</v>
      </c>
    </row>
    <row r="281" spans="1:15" x14ac:dyDescent="0.3">
      <c r="A281" t="s">
        <v>63</v>
      </c>
      <c r="B281" t="s">
        <v>89</v>
      </c>
      <c r="C281" t="s">
        <v>209</v>
      </c>
      <c r="D281" t="s">
        <v>382</v>
      </c>
      <c r="E281" t="s">
        <v>596</v>
      </c>
      <c r="F281">
        <v>1.68</v>
      </c>
      <c r="G281">
        <v>6.2</v>
      </c>
      <c r="H281">
        <v>4</v>
      </c>
      <c r="I281">
        <v>2.06</v>
      </c>
      <c r="J281" t="s">
        <v>670</v>
      </c>
      <c r="K281">
        <v>4</v>
      </c>
      <c r="L281">
        <v>0</v>
      </c>
      <c r="M281">
        <v>1</v>
      </c>
      <c r="N281">
        <f t="shared" si="8"/>
        <v>0.99110000000000009</v>
      </c>
      <c r="O281">
        <f t="shared" si="9"/>
        <v>4</v>
      </c>
    </row>
    <row r="282" spans="1:15" x14ac:dyDescent="0.3">
      <c r="A282" t="s">
        <v>63</v>
      </c>
      <c r="B282" t="s">
        <v>89</v>
      </c>
      <c r="C282" t="s">
        <v>209</v>
      </c>
      <c r="D282" t="s">
        <v>383</v>
      </c>
      <c r="E282" t="s">
        <v>597</v>
      </c>
      <c r="F282">
        <v>1.42</v>
      </c>
      <c r="G282">
        <v>9.6</v>
      </c>
      <c r="H282">
        <v>5.2</v>
      </c>
      <c r="I282">
        <v>1.79</v>
      </c>
      <c r="J282" t="s">
        <v>670</v>
      </c>
      <c r="K282">
        <v>4</v>
      </c>
      <c r="L282">
        <v>2</v>
      </c>
      <c r="M282">
        <v>1</v>
      </c>
      <c r="N282">
        <f t="shared" si="8"/>
        <v>0.73865000000000003</v>
      </c>
      <c r="O282">
        <f t="shared" si="9"/>
        <v>6</v>
      </c>
    </row>
    <row r="283" spans="1:15" x14ac:dyDescent="0.3">
      <c r="A283" t="s">
        <v>63</v>
      </c>
      <c r="B283" t="s">
        <v>94</v>
      </c>
      <c r="C283" t="s">
        <v>143</v>
      </c>
      <c r="D283" t="s">
        <v>384</v>
      </c>
      <c r="E283" t="s">
        <v>598</v>
      </c>
      <c r="F283">
        <v>1.97</v>
      </c>
      <c r="G283">
        <v>4.7</v>
      </c>
      <c r="H283">
        <v>3.45</v>
      </c>
      <c r="I283">
        <v>2.2599999999999998</v>
      </c>
      <c r="J283" t="s">
        <v>670</v>
      </c>
      <c r="K283">
        <v>2</v>
      </c>
      <c r="L283">
        <v>1</v>
      </c>
      <c r="M283">
        <v>1</v>
      </c>
      <c r="N283">
        <f t="shared" si="8"/>
        <v>1.1780999999999999</v>
      </c>
      <c r="O283">
        <f t="shared" si="9"/>
        <v>3</v>
      </c>
    </row>
    <row r="284" spans="1:15" x14ac:dyDescent="0.3">
      <c r="A284" t="s">
        <v>64</v>
      </c>
      <c r="B284" t="s">
        <v>104</v>
      </c>
      <c r="C284" t="s">
        <v>201</v>
      </c>
      <c r="D284" t="s">
        <v>385</v>
      </c>
      <c r="E284" t="s">
        <v>599</v>
      </c>
      <c r="F284">
        <v>2.2400000000000002</v>
      </c>
      <c r="G284">
        <v>3.75</v>
      </c>
      <c r="H284">
        <v>3.15</v>
      </c>
      <c r="I284">
        <v>2.6</v>
      </c>
      <c r="J284" t="s">
        <v>670</v>
      </c>
      <c r="K284">
        <v>3</v>
      </c>
      <c r="L284">
        <v>2</v>
      </c>
      <c r="M284">
        <v>1</v>
      </c>
      <c r="N284">
        <f t="shared" si="8"/>
        <v>1.4960000000000002</v>
      </c>
      <c r="O284">
        <f t="shared" si="9"/>
        <v>5</v>
      </c>
    </row>
    <row r="285" spans="1:15" x14ac:dyDescent="0.3">
      <c r="A285" t="s">
        <v>64</v>
      </c>
      <c r="B285" t="s">
        <v>108</v>
      </c>
      <c r="C285" t="s">
        <v>210</v>
      </c>
      <c r="D285" t="s">
        <v>386</v>
      </c>
      <c r="E285" t="s">
        <v>600</v>
      </c>
      <c r="F285">
        <v>2.42</v>
      </c>
      <c r="G285">
        <v>3.25</v>
      </c>
      <c r="H285">
        <v>2.62</v>
      </c>
      <c r="I285">
        <v>2.84</v>
      </c>
      <c r="J285" t="s">
        <v>670</v>
      </c>
      <c r="K285">
        <v>2</v>
      </c>
      <c r="L285">
        <v>1</v>
      </c>
      <c r="M285">
        <v>1</v>
      </c>
      <c r="N285">
        <f t="shared" si="8"/>
        <v>1.7203999999999999</v>
      </c>
      <c r="O285">
        <f t="shared" si="9"/>
        <v>3</v>
      </c>
    </row>
    <row r="286" spans="1:15" x14ac:dyDescent="0.3">
      <c r="A286" t="s">
        <v>64</v>
      </c>
      <c r="B286" t="s">
        <v>91</v>
      </c>
      <c r="C286" t="s">
        <v>144</v>
      </c>
      <c r="D286" t="s">
        <v>387</v>
      </c>
      <c r="E286" t="s">
        <v>601</v>
      </c>
      <c r="F286">
        <v>1.94</v>
      </c>
      <c r="G286">
        <v>4.7</v>
      </c>
      <c r="H286">
        <v>3.35</v>
      </c>
      <c r="I286">
        <v>2.42</v>
      </c>
      <c r="J286" t="s">
        <v>670</v>
      </c>
      <c r="K286">
        <v>0</v>
      </c>
      <c r="L286">
        <v>1</v>
      </c>
      <c r="M286">
        <v>0</v>
      </c>
      <c r="N286">
        <f t="shared" si="8"/>
        <v>-1</v>
      </c>
      <c r="O286">
        <f t="shared" si="9"/>
        <v>1</v>
      </c>
    </row>
    <row r="287" spans="1:15" x14ac:dyDescent="0.3">
      <c r="A287" t="s">
        <v>64</v>
      </c>
      <c r="B287" t="s">
        <v>91</v>
      </c>
      <c r="C287" t="s">
        <v>144</v>
      </c>
      <c r="D287" t="s">
        <v>388</v>
      </c>
      <c r="E287" t="s">
        <v>602</v>
      </c>
      <c r="F287">
        <v>2.46</v>
      </c>
      <c r="G287">
        <v>3.65</v>
      </c>
      <c r="H287">
        <v>2.88</v>
      </c>
      <c r="I287">
        <v>3.1</v>
      </c>
      <c r="J287" t="s">
        <v>670</v>
      </c>
      <c r="K287">
        <v>1</v>
      </c>
      <c r="L287">
        <v>2</v>
      </c>
      <c r="M287">
        <v>1</v>
      </c>
      <c r="N287">
        <f t="shared" si="8"/>
        <v>1.9635000000000002</v>
      </c>
      <c r="O287">
        <f t="shared" si="9"/>
        <v>3</v>
      </c>
    </row>
    <row r="288" spans="1:15" x14ac:dyDescent="0.3">
      <c r="A288" t="s">
        <v>64</v>
      </c>
      <c r="B288" t="s">
        <v>98</v>
      </c>
      <c r="C288" t="s">
        <v>153</v>
      </c>
      <c r="D288" t="s">
        <v>389</v>
      </c>
      <c r="E288" t="s">
        <v>603</v>
      </c>
      <c r="F288">
        <v>2.1800000000000002</v>
      </c>
      <c r="G288">
        <v>4</v>
      </c>
      <c r="H288">
        <v>3.2</v>
      </c>
      <c r="I288">
        <v>2.6</v>
      </c>
      <c r="J288" t="s">
        <v>670</v>
      </c>
      <c r="K288">
        <v>0</v>
      </c>
      <c r="L288">
        <v>0</v>
      </c>
      <c r="M288">
        <v>0</v>
      </c>
      <c r="N288">
        <f t="shared" si="8"/>
        <v>-1</v>
      </c>
      <c r="O288">
        <f t="shared" si="9"/>
        <v>0</v>
      </c>
    </row>
    <row r="289" spans="1:15" x14ac:dyDescent="0.3">
      <c r="A289" t="s">
        <v>64</v>
      </c>
      <c r="B289" t="s">
        <v>113</v>
      </c>
      <c r="C289" t="s">
        <v>167</v>
      </c>
      <c r="D289" t="s">
        <v>291</v>
      </c>
      <c r="E289" t="s">
        <v>560</v>
      </c>
      <c r="F289">
        <v>1.95</v>
      </c>
      <c r="G289">
        <v>4.8</v>
      </c>
      <c r="H289">
        <v>3.5</v>
      </c>
      <c r="I289">
        <v>2.38</v>
      </c>
      <c r="J289" t="s">
        <v>670</v>
      </c>
      <c r="K289">
        <v>0</v>
      </c>
      <c r="L289">
        <v>1</v>
      </c>
      <c r="M289">
        <v>0</v>
      </c>
      <c r="N289">
        <f t="shared" si="8"/>
        <v>-1</v>
      </c>
      <c r="O289">
        <f t="shared" si="9"/>
        <v>1</v>
      </c>
    </row>
    <row r="290" spans="1:15" x14ac:dyDescent="0.3">
      <c r="A290" t="s">
        <v>671</v>
      </c>
      <c r="B290" t="s">
        <v>93</v>
      </c>
      <c r="C290" t="s">
        <v>672</v>
      </c>
      <c r="D290" t="s">
        <v>673</v>
      </c>
      <c r="E290" t="s">
        <v>674</v>
      </c>
      <c r="F290">
        <v>1.6</v>
      </c>
      <c r="G290">
        <v>6.4</v>
      </c>
      <c r="H290">
        <v>4</v>
      </c>
      <c r="I290">
        <v>1.96</v>
      </c>
      <c r="J290" t="s">
        <v>670</v>
      </c>
      <c r="K290">
        <v>1</v>
      </c>
      <c r="L290">
        <v>0</v>
      </c>
      <c r="M290">
        <v>0</v>
      </c>
      <c r="N290">
        <f t="shared" ref="N290:N304" si="10">IF(M290=1,0.935*(I290-1),-1)</f>
        <v>-1</v>
      </c>
      <c r="O290">
        <f t="shared" ref="O290:O304" si="11">K290+L290</f>
        <v>1</v>
      </c>
    </row>
    <row r="291" spans="1:15" x14ac:dyDescent="0.3">
      <c r="A291" t="s">
        <v>671</v>
      </c>
      <c r="B291" t="s">
        <v>93</v>
      </c>
      <c r="C291" t="s">
        <v>211</v>
      </c>
      <c r="D291" t="s">
        <v>675</v>
      </c>
      <c r="E291" t="s">
        <v>676</v>
      </c>
      <c r="F291">
        <v>1.99</v>
      </c>
      <c r="G291">
        <v>4.4000000000000004</v>
      </c>
      <c r="H291">
        <v>3.4</v>
      </c>
      <c r="I291">
        <v>2.42</v>
      </c>
      <c r="J291" t="s">
        <v>670</v>
      </c>
      <c r="K291">
        <v>1</v>
      </c>
      <c r="L291">
        <v>0</v>
      </c>
      <c r="M291">
        <v>0</v>
      </c>
      <c r="N291">
        <f t="shared" si="10"/>
        <v>-1</v>
      </c>
      <c r="O291">
        <f t="shared" si="11"/>
        <v>1</v>
      </c>
    </row>
    <row r="292" spans="1:15" x14ac:dyDescent="0.3">
      <c r="A292" t="s">
        <v>671</v>
      </c>
      <c r="B292" t="s">
        <v>140</v>
      </c>
      <c r="C292" t="s">
        <v>231</v>
      </c>
      <c r="D292" t="s">
        <v>677</v>
      </c>
      <c r="E292" t="s">
        <v>678</v>
      </c>
      <c r="F292">
        <v>2.14</v>
      </c>
      <c r="G292">
        <v>4.3</v>
      </c>
      <c r="H292">
        <v>3.3</v>
      </c>
      <c r="I292">
        <v>2.64</v>
      </c>
      <c r="J292" t="s">
        <v>670</v>
      </c>
      <c r="K292">
        <v>2</v>
      </c>
      <c r="L292">
        <v>1</v>
      </c>
      <c r="M292">
        <v>1</v>
      </c>
      <c r="N292">
        <f t="shared" si="10"/>
        <v>1.5334000000000001</v>
      </c>
      <c r="O292">
        <f t="shared" si="11"/>
        <v>3</v>
      </c>
    </row>
    <row r="293" spans="1:15" x14ac:dyDescent="0.3">
      <c r="A293" t="s">
        <v>671</v>
      </c>
      <c r="B293" t="s">
        <v>108</v>
      </c>
      <c r="C293" t="s">
        <v>166</v>
      </c>
      <c r="D293" t="s">
        <v>503</v>
      </c>
      <c r="E293" t="s">
        <v>679</v>
      </c>
      <c r="F293">
        <v>2.46</v>
      </c>
      <c r="G293">
        <v>3.65</v>
      </c>
      <c r="H293">
        <v>2.88</v>
      </c>
      <c r="I293">
        <v>2.96</v>
      </c>
      <c r="J293" t="s">
        <v>670</v>
      </c>
      <c r="K293">
        <v>0</v>
      </c>
      <c r="L293">
        <v>1</v>
      </c>
      <c r="M293">
        <v>0</v>
      </c>
      <c r="N293">
        <f t="shared" si="10"/>
        <v>-1</v>
      </c>
      <c r="O293">
        <f t="shared" si="11"/>
        <v>1</v>
      </c>
    </row>
    <row r="294" spans="1:15" x14ac:dyDescent="0.3">
      <c r="A294" t="s">
        <v>671</v>
      </c>
      <c r="B294" t="s">
        <v>108</v>
      </c>
      <c r="C294" t="s">
        <v>165</v>
      </c>
      <c r="D294" t="s">
        <v>533</v>
      </c>
      <c r="E294" t="s">
        <v>680</v>
      </c>
      <c r="F294">
        <v>1.94</v>
      </c>
      <c r="G294">
        <v>4.5999999999999996</v>
      </c>
      <c r="H294">
        <v>3.6</v>
      </c>
      <c r="I294">
        <v>2.2200000000000002</v>
      </c>
      <c r="J294" t="s">
        <v>670</v>
      </c>
      <c r="K294">
        <v>0</v>
      </c>
      <c r="L294">
        <v>4</v>
      </c>
      <c r="M294">
        <v>1</v>
      </c>
      <c r="N294">
        <f t="shared" si="10"/>
        <v>1.1407000000000003</v>
      </c>
      <c r="O294">
        <f t="shared" si="11"/>
        <v>4</v>
      </c>
    </row>
    <row r="295" spans="1:15" x14ac:dyDescent="0.3">
      <c r="A295" t="s">
        <v>671</v>
      </c>
      <c r="B295" t="s">
        <v>108</v>
      </c>
      <c r="C295" t="s">
        <v>145</v>
      </c>
      <c r="D295" t="s">
        <v>681</v>
      </c>
      <c r="E295" t="s">
        <v>682</v>
      </c>
      <c r="F295">
        <v>2.08</v>
      </c>
      <c r="G295">
        <v>4.2</v>
      </c>
      <c r="H295">
        <v>3.3</v>
      </c>
      <c r="I295">
        <v>2.46</v>
      </c>
      <c r="J295" t="s">
        <v>670</v>
      </c>
      <c r="K295">
        <v>2</v>
      </c>
      <c r="L295">
        <v>1</v>
      </c>
      <c r="M295">
        <v>1</v>
      </c>
      <c r="N295">
        <f t="shared" si="10"/>
        <v>1.3651</v>
      </c>
      <c r="O295">
        <f t="shared" si="11"/>
        <v>3</v>
      </c>
    </row>
    <row r="296" spans="1:15" x14ac:dyDescent="0.3">
      <c r="A296" t="s">
        <v>671</v>
      </c>
      <c r="B296" t="s">
        <v>108</v>
      </c>
      <c r="C296" t="s">
        <v>145</v>
      </c>
      <c r="D296" t="s">
        <v>456</v>
      </c>
      <c r="E296" t="s">
        <v>683</v>
      </c>
      <c r="F296">
        <v>1.75</v>
      </c>
      <c r="G296">
        <v>5.3</v>
      </c>
      <c r="H296">
        <v>3.7</v>
      </c>
      <c r="I296">
        <v>2.16</v>
      </c>
      <c r="J296" t="s">
        <v>670</v>
      </c>
      <c r="K296">
        <v>0</v>
      </c>
      <c r="L296">
        <v>2</v>
      </c>
      <c r="M296">
        <v>0</v>
      </c>
      <c r="N296">
        <f t="shared" si="10"/>
        <v>-1</v>
      </c>
      <c r="O296">
        <f t="shared" si="11"/>
        <v>2</v>
      </c>
    </row>
    <row r="297" spans="1:15" x14ac:dyDescent="0.3">
      <c r="A297" t="s">
        <v>671</v>
      </c>
      <c r="B297" t="s">
        <v>97</v>
      </c>
      <c r="C297" t="s">
        <v>186</v>
      </c>
      <c r="D297" t="s">
        <v>684</v>
      </c>
      <c r="E297" t="s">
        <v>685</v>
      </c>
      <c r="F297">
        <v>1.96</v>
      </c>
      <c r="G297">
        <v>4.5</v>
      </c>
      <c r="H297">
        <v>3.5</v>
      </c>
      <c r="I297">
        <v>2.3199999999999998</v>
      </c>
      <c r="J297" t="s">
        <v>670</v>
      </c>
      <c r="K297">
        <v>1</v>
      </c>
      <c r="L297">
        <v>2</v>
      </c>
      <c r="M297">
        <v>1</v>
      </c>
      <c r="N297">
        <f t="shared" si="10"/>
        <v>1.2342</v>
      </c>
      <c r="O297">
        <f t="shared" si="11"/>
        <v>3</v>
      </c>
    </row>
    <row r="298" spans="1:15" x14ac:dyDescent="0.3">
      <c r="A298" t="s">
        <v>671</v>
      </c>
      <c r="B298" t="s">
        <v>109</v>
      </c>
      <c r="C298" t="s">
        <v>149</v>
      </c>
      <c r="D298" t="s">
        <v>686</v>
      </c>
      <c r="E298" t="s">
        <v>504</v>
      </c>
      <c r="F298">
        <v>1.99</v>
      </c>
      <c r="G298">
        <v>4.4000000000000004</v>
      </c>
      <c r="H298">
        <v>3.1</v>
      </c>
      <c r="I298">
        <v>2.38</v>
      </c>
      <c r="J298" t="s">
        <v>670</v>
      </c>
      <c r="K298">
        <v>3</v>
      </c>
      <c r="L298">
        <v>2</v>
      </c>
      <c r="M298">
        <v>1</v>
      </c>
      <c r="N298">
        <f t="shared" si="10"/>
        <v>1.2903</v>
      </c>
      <c r="O298">
        <f t="shared" si="11"/>
        <v>5</v>
      </c>
    </row>
    <row r="299" spans="1:15" x14ac:dyDescent="0.3">
      <c r="A299" t="s">
        <v>671</v>
      </c>
      <c r="B299" t="s">
        <v>101</v>
      </c>
      <c r="C299" t="s">
        <v>166</v>
      </c>
      <c r="D299" t="s">
        <v>687</v>
      </c>
      <c r="E299" t="s">
        <v>565</v>
      </c>
      <c r="F299">
        <v>1.91</v>
      </c>
      <c r="G299">
        <v>5</v>
      </c>
      <c r="H299">
        <v>3.45</v>
      </c>
      <c r="I299">
        <v>2.36</v>
      </c>
      <c r="J299" t="s">
        <v>670</v>
      </c>
      <c r="K299">
        <v>0</v>
      </c>
      <c r="L299">
        <v>2</v>
      </c>
      <c r="M299">
        <v>0</v>
      </c>
      <c r="N299">
        <f t="shared" si="10"/>
        <v>-1</v>
      </c>
      <c r="O299">
        <f t="shared" si="11"/>
        <v>2</v>
      </c>
    </row>
    <row r="300" spans="1:15" x14ac:dyDescent="0.3">
      <c r="A300" t="s">
        <v>671</v>
      </c>
      <c r="B300" t="s">
        <v>101</v>
      </c>
      <c r="C300" t="s">
        <v>186</v>
      </c>
      <c r="D300" t="s">
        <v>550</v>
      </c>
      <c r="E300" t="s">
        <v>688</v>
      </c>
      <c r="F300">
        <v>2.12</v>
      </c>
      <c r="G300">
        <v>4.0999999999999996</v>
      </c>
      <c r="H300">
        <v>3.3</v>
      </c>
      <c r="I300">
        <v>2.6</v>
      </c>
      <c r="J300" t="s">
        <v>670</v>
      </c>
      <c r="K300">
        <v>0</v>
      </c>
      <c r="L300">
        <v>2</v>
      </c>
      <c r="M300">
        <v>0</v>
      </c>
      <c r="N300">
        <f t="shared" si="10"/>
        <v>-1</v>
      </c>
      <c r="O300">
        <f t="shared" si="11"/>
        <v>2</v>
      </c>
    </row>
    <row r="301" spans="1:15" x14ac:dyDescent="0.3">
      <c r="A301" t="s">
        <v>671</v>
      </c>
      <c r="B301" t="s">
        <v>115</v>
      </c>
      <c r="C301" t="s">
        <v>191</v>
      </c>
      <c r="D301" t="s">
        <v>689</v>
      </c>
      <c r="E301" t="s">
        <v>378</v>
      </c>
      <c r="F301">
        <v>2.38</v>
      </c>
      <c r="G301">
        <v>3.55</v>
      </c>
      <c r="H301">
        <v>2.86</v>
      </c>
      <c r="I301">
        <v>2.76</v>
      </c>
      <c r="J301" t="s">
        <v>670</v>
      </c>
      <c r="K301">
        <v>0</v>
      </c>
      <c r="L301">
        <v>1</v>
      </c>
      <c r="M301">
        <v>0</v>
      </c>
      <c r="N301">
        <f t="shared" si="10"/>
        <v>-1</v>
      </c>
      <c r="O301">
        <f t="shared" si="11"/>
        <v>1</v>
      </c>
    </row>
    <row r="302" spans="1:15" x14ac:dyDescent="0.3">
      <c r="A302" t="s">
        <v>671</v>
      </c>
      <c r="B302" t="s">
        <v>92</v>
      </c>
      <c r="C302" t="s">
        <v>163</v>
      </c>
      <c r="D302" t="s">
        <v>513</v>
      </c>
      <c r="E302" t="s">
        <v>498</v>
      </c>
      <c r="F302">
        <v>2.2000000000000002</v>
      </c>
      <c r="G302">
        <v>4.5</v>
      </c>
      <c r="H302">
        <v>3.05</v>
      </c>
      <c r="I302">
        <v>2.7</v>
      </c>
      <c r="J302" t="s">
        <v>670</v>
      </c>
      <c r="K302">
        <v>4</v>
      </c>
      <c r="L302">
        <v>0</v>
      </c>
      <c r="M302">
        <v>1</v>
      </c>
      <c r="N302">
        <f t="shared" si="10"/>
        <v>1.5895000000000004</v>
      </c>
      <c r="O302">
        <f t="shared" si="11"/>
        <v>4</v>
      </c>
    </row>
    <row r="303" spans="1:15" x14ac:dyDescent="0.3">
      <c r="A303" t="s">
        <v>671</v>
      </c>
      <c r="B303" t="s">
        <v>103</v>
      </c>
      <c r="C303" t="s">
        <v>690</v>
      </c>
      <c r="D303" t="s">
        <v>691</v>
      </c>
      <c r="E303" t="s">
        <v>692</v>
      </c>
      <c r="F303">
        <v>1.65</v>
      </c>
      <c r="G303">
        <v>5.9</v>
      </c>
      <c r="H303">
        <v>4</v>
      </c>
      <c r="I303">
        <v>2.02</v>
      </c>
      <c r="J303" t="s">
        <v>670</v>
      </c>
      <c r="K303">
        <v>0</v>
      </c>
      <c r="L303">
        <v>1</v>
      </c>
      <c r="M303">
        <v>0</v>
      </c>
      <c r="N303">
        <f t="shared" si="10"/>
        <v>-1</v>
      </c>
      <c r="O303">
        <f t="shared" si="11"/>
        <v>1</v>
      </c>
    </row>
    <row r="304" spans="1:15" x14ac:dyDescent="0.3">
      <c r="A304" t="s">
        <v>671</v>
      </c>
      <c r="B304" t="s">
        <v>103</v>
      </c>
      <c r="C304" t="s">
        <v>142</v>
      </c>
      <c r="D304" t="s">
        <v>693</v>
      </c>
      <c r="E304" t="s">
        <v>694</v>
      </c>
      <c r="F304">
        <v>2.76</v>
      </c>
      <c r="G304">
        <v>3.35</v>
      </c>
      <c r="H304">
        <v>2.86</v>
      </c>
      <c r="I304">
        <v>3.25</v>
      </c>
      <c r="J304" t="s">
        <v>670</v>
      </c>
      <c r="K304">
        <v>1</v>
      </c>
      <c r="L304">
        <v>1</v>
      </c>
      <c r="M304">
        <v>0</v>
      </c>
      <c r="N304">
        <f t="shared" si="10"/>
        <v>-1</v>
      </c>
      <c r="O304">
        <f t="shared" si="11"/>
        <v>2</v>
      </c>
    </row>
    <row r="305" spans="1:15" x14ac:dyDescent="0.3">
      <c r="A305" t="s">
        <v>695</v>
      </c>
      <c r="B305" t="s">
        <v>99</v>
      </c>
      <c r="C305" t="s">
        <v>163</v>
      </c>
      <c r="D305" t="s">
        <v>280</v>
      </c>
      <c r="E305" t="s">
        <v>696</v>
      </c>
      <c r="F305">
        <v>2.2400000000000002</v>
      </c>
      <c r="G305">
        <v>4.4000000000000004</v>
      </c>
      <c r="H305">
        <v>2.98</v>
      </c>
      <c r="I305">
        <v>2.74</v>
      </c>
      <c r="J305" t="s">
        <v>670</v>
      </c>
      <c r="K305">
        <v>1</v>
      </c>
      <c r="L305">
        <v>0</v>
      </c>
      <c r="M305">
        <v>0</v>
      </c>
      <c r="N305">
        <f t="shared" ref="N305:N311" si="12">IF(M305=1,0.935*(I305-1),-1)</f>
        <v>-1</v>
      </c>
      <c r="O305">
        <f t="shared" ref="O305:O311" si="13">K305+L305</f>
        <v>1</v>
      </c>
    </row>
    <row r="306" spans="1:15" x14ac:dyDescent="0.3">
      <c r="A306" t="s">
        <v>695</v>
      </c>
      <c r="B306" t="s">
        <v>96</v>
      </c>
      <c r="C306" t="s">
        <v>149</v>
      </c>
      <c r="D306" t="s">
        <v>697</v>
      </c>
      <c r="E306" t="s">
        <v>556</v>
      </c>
      <c r="F306">
        <v>2.1</v>
      </c>
      <c r="G306">
        <v>4.0999999999999996</v>
      </c>
      <c r="H306">
        <v>3.05</v>
      </c>
      <c r="I306">
        <v>2.5</v>
      </c>
      <c r="J306" t="s">
        <v>670</v>
      </c>
      <c r="K306">
        <v>0</v>
      </c>
      <c r="L306">
        <v>1</v>
      </c>
      <c r="M306">
        <v>0</v>
      </c>
      <c r="N306">
        <f t="shared" si="12"/>
        <v>-1</v>
      </c>
      <c r="O306">
        <f t="shared" si="13"/>
        <v>1</v>
      </c>
    </row>
    <row r="307" spans="1:15" x14ac:dyDescent="0.3">
      <c r="A307" t="s">
        <v>695</v>
      </c>
      <c r="B307" t="s">
        <v>96</v>
      </c>
      <c r="C307" t="s">
        <v>698</v>
      </c>
      <c r="D307" t="s">
        <v>699</v>
      </c>
      <c r="E307" t="s">
        <v>700</v>
      </c>
      <c r="F307">
        <v>1.73</v>
      </c>
      <c r="G307">
        <v>5.6</v>
      </c>
      <c r="H307">
        <v>3.55</v>
      </c>
      <c r="I307">
        <v>2.1800000000000002</v>
      </c>
      <c r="J307" t="s">
        <v>670</v>
      </c>
      <c r="K307">
        <v>2</v>
      </c>
      <c r="L307">
        <v>2</v>
      </c>
      <c r="M307">
        <v>1</v>
      </c>
      <c r="N307">
        <f t="shared" si="12"/>
        <v>1.1033000000000002</v>
      </c>
      <c r="O307">
        <f t="shared" si="13"/>
        <v>4</v>
      </c>
    </row>
    <row r="308" spans="1:15" x14ac:dyDescent="0.3">
      <c r="A308" t="s">
        <v>695</v>
      </c>
      <c r="B308" t="s">
        <v>108</v>
      </c>
      <c r="C308" t="s">
        <v>164</v>
      </c>
      <c r="D308" t="s">
        <v>701</v>
      </c>
      <c r="E308" t="s">
        <v>702</v>
      </c>
      <c r="F308">
        <v>2.2400000000000002</v>
      </c>
      <c r="G308">
        <v>3.95</v>
      </c>
      <c r="H308">
        <v>2.96</v>
      </c>
      <c r="I308">
        <v>2.78</v>
      </c>
      <c r="J308" t="s">
        <v>670</v>
      </c>
      <c r="K308">
        <v>1</v>
      </c>
      <c r="L308">
        <v>1</v>
      </c>
      <c r="M308">
        <v>0</v>
      </c>
      <c r="N308">
        <f t="shared" si="12"/>
        <v>-1</v>
      </c>
      <c r="O308">
        <f t="shared" si="13"/>
        <v>2</v>
      </c>
    </row>
    <row r="309" spans="1:15" x14ac:dyDescent="0.3">
      <c r="A309" t="s">
        <v>695</v>
      </c>
      <c r="B309" t="s">
        <v>106</v>
      </c>
      <c r="C309" t="s">
        <v>179</v>
      </c>
      <c r="D309" t="s">
        <v>703</v>
      </c>
      <c r="E309" t="s">
        <v>704</v>
      </c>
      <c r="F309">
        <v>2.2799999999999998</v>
      </c>
      <c r="G309">
        <v>3.7</v>
      </c>
      <c r="H309">
        <v>2.96</v>
      </c>
      <c r="I309">
        <v>2.66</v>
      </c>
      <c r="J309" t="s">
        <v>670</v>
      </c>
      <c r="K309">
        <v>0</v>
      </c>
      <c r="L309">
        <v>2</v>
      </c>
      <c r="M309">
        <v>0</v>
      </c>
      <c r="N309">
        <f t="shared" si="12"/>
        <v>-1</v>
      </c>
      <c r="O309">
        <f t="shared" si="13"/>
        <v>2</v>
      </c>
    </row>
    <row r="310" spans="1:15" x14ac:dyDescent="0.3">
      <c r="A310" t="s">
        <v>695</v>
      </c>
      <c r="B310" t="s">
        <v>98</v>
      </c>
      <c r="C310" t="s">
        <v>705</v>
      </c>
      <c r="D310" t="s">
        <v>706</v>
      </c>
      <c r="E310" t="s">
        <v>707</v>
      </c>
      <c r="F310">
        <v>2.2400000000000002</v>
      </c>
      <c r="G310">
        <v>3.75</v>
      </c>
      <c r="H310">
        <v>3.25</v>
      </c>
      <c r="I310">
        <v>2.62</v>
      </c>
      <c r="J310" t="s">
        <v>670</v>
      </c>
      <c r="K310">
        <v>1</v>
      </c>
      <c r="L310">
        <v>2</v>
      </c>
      <c r="M310">
        <v>1</v>
      </c>
      <c r="N310">
        <f t="shared" si="12"/>
        <v>1.5147000000000002</v>
      </c>
      <c r="O310">
        <f t="shared" si="13"/>
        <v>3</v>
      </c>
    </row>
    <row r="311" spans="1:15" x14ac:dyDescent="0.3">
      <c r="A311" t="s">
        <v>695</v>
      </c>
      <c r="B311" t="s">
        <v>89</v>
      </c>
      <c r="C311" t="s">
        <v>142</v>
      </c>
      <c r="D311" t="s">
        <v>233</v>
      </c>
      <c r="E311" t="s">
        <v>435</v>
      </c>
      <c r="F311">
        <v>3.3</v>
      </c>
      <c r="G311">
        <v>2.98</v>
      </c>
      <c r="H311">
        <v>2.7</v>
      </c>
      <c r="I311">
        <v>4.0999999999999996</v>
      </c>
      <c r="J311" t="s">
        <v>670</v>
      </c>
      <c r="K311">
        <v>0</v>
      </c>
      <c r="L311">
        <v>1</v>
      </c>
      <c r="M311">
        <v>0</v>
      </c>
      <c r="N311">
        <f t="shared" si="12"/>
        <v>-1</v>
      </c>
      <c r="O311">
        <f t="shared" si="13"/>
        <v>1</v>
      </c>
    </row>
  </sheetData>
  <sortState xmlns:xlrd2="http://schemas.microsoft.com/office/spreadsheetml/2017/richdata2" ref="A2:O289">
    <sortCondition ref="A1:A2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thiago Rodrigues</cp:lastModifiedBy>
  <dcterms:created xsi:type="dcterms:W3CDTF">2026-01-30T22:51:32Z</dcterms:created>
  <dcterms:modified xsi:type="dcterms:W3CDTF">2026-02-02T18:55:55Z</dcterms:modified>
</cp:coreProperties>
</file>